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E2 Jobs\Chinese University of Hong Kong\2. Job Information\27884-01 (Chinese University of Hong Kong) IAM-9C\"/>
    </mc:Choice>
  </mc:AlternateContent>
  <xr:revisionPtr revIDLastSave="0" documentId="8_{2D47B885-1A01-408A-A8EA-578CDE0A584C}" xr6:coauthVersionLast="47" xr6:coauthVersionMax="47" xr10:uidLastSave="{00000000-0000-0000-0000-000000000000}"/>
  <bookViews>
    <workbookView xWindow="768" yWindow="12" windowWidth="20388" windowHeight="16668" activeTab="1" xr2:uid="{00000000-000D-0000-FFFF-FFFF00000000}"/>
  </bookViews>
  <sheets>
    <sheet name="SpectralData" sheetId="4" r:id="rId1"/>
    <sheet name="IAM-9C Report Data" sheetId="6" r:id="rId2"/>
    <sheet name="Color Conversion" sheetId="3" r:id="rId3"/>
    <sheet name="References" sheetId="2" state="hidden" r:id="rId4"/>
  </sheets>
  <externalReferences>
    <externalReference r:id="rId5"/>
  </externalReferences>
  <definedNames>
    <definedName name="a">[1]References!$Q$4:$Q$102</definedName>
    <definedName name="asdf">#REF!</definedName>
    <definedName name="asdfasdf">[1]References!$AR$4:$AR$102</definedName>
    <definedName name="b">#REF!</definedName>
    <definedName name="Blackbody">References!$Q$4:$Q$102</definedName>
    <definedName name="Blackbody_Temperature">'Color Conversion'!$C$13</definedName>
    <definedName name="C_X">'Color Conversion'!$H$13</definedName>
    <definedName name="C_Y">'Color Conversion'!$I$13</definedName>
    <definedName name="C_Z">'Color Conversion'!$J$13</definedName>
    <definedName name="Custom_Illuminant">'Color Conversion'!$D$17:$D$115</definedName>
    <definedName name="D50_X">References!$BH$21</definedName>
    <definedName name="D50_Y">References!$BI$21</definedName>
    <definedName name="D50_Z">References!$BJ$21</definedName>
    <definedName name="D65_X">References!$BH$22</definedName>
    <definedName name="D65_Y">References!$BI$22</definedName>
    <definedName name="D65_Z">References!$BJ$22</definedName>
    <definedName name="Den_StatusA_B">References!$AP$4:$AP$102</definedName>
    <definedName name="Den_StatusA_G">References!$AO$4:$AO$102</definedName>
    <definedName name="Den_StatusA_R">References!$AN$4:$AN$102</definedName>
    <definedName name="Den_StatusE_B">References!$AS$4:$AS$102</definedName>
    <definedName name="Den_StatusE_G">References!$AR$4:$AR$102</definedName>
    <definedName name="Den_StatusE_R">References!$AQ$4:$AQ$102</definedName>
    <definedName name="Den_StatusM_B">References!$AV$4:$AV$102</definedName>
    <definedName name="Den_StatusM_G">References!$AU$4:$AU$102</definedName>
    <definedName name="Den_StatusM_R">References!$AT$4:$AT$102</definedName>
    <definedName name="Den_StatusT_B">References!$AY$4:$AY$102</definedName>
    <definedName name="Den_StatusT_G">References!$AX$4:$AX$102</definedName>
    <definedName name="Den_StatusT_R">References!$AW$4:$AW$102</definedName>
    <definedName name="Den_Type1">References!$AL$4:$AL$102</definedName>
    <definedName name="Den_Type2">References!$AM$4:$AM$102</definedName>
    <definedName name="Den_Visual">References!$AK$4:$AK$102</definedName>
    <definedName name="dfdfg">[1]References!$AP$4:$AP$102</definedName>
    <definedName name="E_X">'Color Conversion'!$H$15</definedName>
    <definedName name="E_Y">'Color Conversion'!$I$15</definedName>
    <definedName name="E_Z">'Color Conversion'!$J$15</definedName>
    <definedName name="epsilon">References!$BE$39</definedName>
    <definedName name="ertert">[1]References!$BH$22</definedName>
    <definedName name="fg">#REF!</definedName>
    <definedName name="fgh">[1]References!$AN$4:$AN$102</definedName>
    <definedName name="ghfg">[1]References!$BI$22</definedName>
    <definedName name="hfd">#REF!</definedName>
    <definedName name="hjhjgh">[1]References!$BJ$22</definedName>
    <definedName name="Illuminant_A">References!$I$4:$I$102</definedName>
    <definedName name="Illuminant_B">References!$J$4:$J$102</definedName>
    <definedName name="Illuminant_C">References!$K$4:$K$102</definedName>
    <definedName name="Illuminant_D">References!$L$4:$L$102</definedName>
    <definedName name="Illuminant_D_Temperature">'Color Conversion'!$C$12</definedName>
    <definedName name="Illuminant_D50">References!$BA$4:$BA$102</definedName>
    <definedName name="Illuminant_D65">References!$BB$4:$BB$102</definedName>
    <definedName name="Illuminant_E">References!$M$4:$M$102</definedName>
    <definedName name="Illuminant_F11">References!$P$4:$P$102</definedName>
    <definedName name="Illuminant_F2">References!$N$4:$N$102</definedName>
    <definedName name="Illuminant_F7">References!$O$4:$O$102</definedName>
    <definedName name="jkljk">#REF!</definedName>
    <definedName name="kappa">References!$BE$40</definedName>
    <definedName name="njghgf">[1]References!$BI$21</definedName>
    <definedName name="report" localSheetId="0">SpectralData!$A$2:$Z$113</definedName>
    <definedName name="report_1" localSheetId="0">SpectralData!$AB$2:$AF$2</definedName>
    <definedName name="rtyrt">[1]References!$AO$4:$AO$102</definedName>
    <definedName name="Sample">'Color Conversion'!$C$17:$C$115</definedName>
    <definedName name="sdfsdf">[1]References!$AS$4:$AS$102</definedName>
    <definedName name="uioui">[1]References!$BJ$21</definedName>
    <definedName name="xObs10">References!$F$4:$F$102</definedName>
    <definedName name="xObs2">References!$C$4:$C$102</definedName>
    <definedName name="yObs10">References!$G$4:$G$102</definedName>
    <definedName name="yObs2">References!$D$4:$D$102</definedName>
    <definedName name="yui">[1]References!$BH$21</definedName>
    <definedName name="zObs10">References!$H$4:$H$102</definedName>
    <definedName name="zObs2">References!$E$4:$E$102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6" l="1"/>
  <c r="C53" i="6"/>
  <c r="E15" i="6" s="1"/>
  <c r="K11" i="6" l="1"/>
  <c r="K10" i="6"/>
  <c r="E9" i="6" l="1"/>
  <c r="J204" i="6" l="1"/>
  <c r="J136" i="6"/>
  <c r="J69" i="6"/>
  <c r="E14" i="6" l="1"/>
  <c r="E11" i="6" l="1"/>
  <c r="E10" i="6"/>
  <c r="K13" i="6"/>
  <c r="K12" i="6"/>
  <c r="K8" i="6" l="1"/>
  <c r="B209" i="6" l="1"/>
  <c r="C209" i="6"/>
  <c r="D209" i="6"/>
  <c r="E209" i="6"/>
  <c r="F209" i="6"/>
  <c r="G209" i="6"/>
  <c r="H209" i="6"/>
  <c r="I209" i="6"/>
  <c r="J209" i="6"/>
  <c r="K209" i="6"/>
  <c r="L209" i="6"/>
  <c r="M209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B254" i="6"/>
  <c r="C254" i="6"/>
  <c r="D254" i="6"/>
  <c r="E254" i="6"/>
  <c r="F254" i="6"/>
  <c r="G254" i="6"/>
  <c r="H254" i="6"/>
  <c r="I254" i="6"/>
  <c r="J254" i="6"/>
  <c r="K254" i="6"/>
  <c r="L254" i="6"/>
  <c r="M254" i="6"/>
  <c r="B255" i="6"/>
  <c r="C255" i="6"/>
  <c r="D255" i="6"/>
  <c r="E255" i="6"/>
  <c r="F255" i="6"/>
  <c r="G255" i="6"/>
  <c r="H255" i="6"/>
  <c r="I255" i="6"/>
  <c r="J255" i="6"/>
  <c r="K255" i="6"/>
  <c r="L255" i="6"/>
  <c r="M255" i="6"/>
  <c r="B256" i="6"/>
  <c r="C256" i="6"/>
  <c r="D256" i="6"/>
  <c r="E256" i="6"/>
  <c r="F256" i="6"/>
  <c r="G256" i="6"/>
  <c r="H256" i="6"/>
  <c r="I256" i="6"/>
  <c r="J256" i="6"/>
  <c r="K256" i="6"/>
  <c r="L256" i="6"/>
  <c r="M256" i="6"/>
  <c r="B257" i="6"/>
  <c r="C257" i="6"/>
  <c r="D257" i="6"/>
  <c r="E257" i="6"/>
  <c r="F257" i="6"/>
  <c r="G257" i="6"/>
  <c r="H257" i="6"/>
  <c r="I257" i="6"/>
  <c r="J257" i="6"/>
  <c r="K257" i="6"/>
  <c r="L257" i="6"/>
  <c r="M257" i="6"/>
  <c r="B258" i="6"/>
  <c r="C258" i="6"/>
  <c r="D258" i="6"/>
  <c r="E258" i="6"/>
  <c r="F258" i="6"/>
  <c r="G258" i="6"/>
  <c r="H258" i="6"/>
  <c r="I258" i="6"/>
  <c r="J258" i="6"/>
  <c r="K258" i="6"/>
  <c r="L258" i="6"/>
  <c r="M258" i="6"/>
  <c r="B259" i="6"/>
  <c r="C259" i="6"/>
  <c r="D259" i="6"/>
  <c r="E259" i="6"/>
  <c r="F259" i="6"/>
  <c r="G259" i="6"/>
  <c r="H259" i="6"/>
  <c r="I259" i="6"/>
  <c r="J259" i="6"/>
  <c r="K259" i="6"/>
  <c r="L259" i="6"/>
  <c r="M259" i="6"/>
  <c r="B260" i="6"/>
  <c r="C260" i="6"/>
  <c r="D260" i="6"/>
  <c r="E260" i="6"/>
  <c r="F260" i="6"/>
  <c r="G260" i="6"/>
  <c r="H260" i="6"/>
  <c r="I260" i="6"/>
  <c r="J260" i="6"/>
  <c r="K260" i="6"/>
  <c r="L260" i="6"/>
  <c r="M260" i="6"/>
  <c r="B261" i="6"/>
  <c r="C261" i="6"/>
  <c r="D261" i="6"/>
  <c r="E261" i="6"/>
  <c r="F261" i="6"/>
  <c r="G261" i="6"/>
  <c r="H261" i="6"/>
  <c r="I261" i="6"/>
  <c r="J261" i="6"/>
  <c r="K261" i="6"/>
  <c r="L261" i="6"/>
  <c r="M261" i="6"/>
  <c r="B262" i="6"/>
  <c r="C262" i="6"/>
  <c r="D262" i="6"/>
  <c r="E262" i="6"/>
  <c r="F262" i="6"/>
  <c r="G262" i="6"/>
  <c r="H262" i="6"/>
  <c r="I262" i="6"/>
  <c r="J262" i="6"/>
  <c r="K262" i="6"/>
  <c r="L262" i="6"/>
  <c r="M262" i="6"/>
  <c r="B263" i="6"/>
  <c r="C263" i="6"/>
  <c r="D263" i="6"/>
  <c r="E263" i="6"/>
  <c r="F263" i="6"/>
  <c r="G263" i="6"/>
  <c r="H263" i="6"/>
  <c r="I263" i="6"/>
  <c r="J263" i="6"/>
  <c r="K263" i="6"/>
  <c r="L263" i="6"/>
  <c r="M263" i="6"/>
  <c r="B264" i="6"/>
  <c r="C264" i="6"/>
  <c r="D264" i="6"/>
  <c r="E264" i="6"/>
  <c r="F264" i="6"/>
  <c r="G264" i="6"/>
  <c r="H264" i="6"/>
  <c r="I264" i="6"/>
  <c r="J264" i="6"/>
  <c r="K264" i="6"/>
  <c r="L264" i="6"/>
  <c r="M264" i="6"/>
  <c r="B265" i="6"/>
  <c r="C265" i="6"/>
  <c r="D265" i="6"/>
  <c r="E265" i="6"/>
  <c r="F265" i="6"/>
  <c r="G265" i="6"/>
  <c r="H265" i="6"/>
  <c r="I265" i="6"/>
  <c r="J265" i="6"/>
  <c r="K265" i="6"/>
  <c r="L265" i="6"/>
  <c r="M265" i="6"/>
  <c r="B266" i="6"/>
  <c r="C266" i="6"/>
  <c r="D266" i="6"/>
  <c r="E266" i="6"/>
  <c r="F266" i="6"/>
  <c r="G266" i="6"/>
  <c r="H266" i="6"/>
  <c r="I266" i="6"/>
  <c r="J266" i="6"/>
  <c r="K266" i="6"/>
  <c r="L266" i="6"/>
  <c r="M266" i="6"/>
  <c r="C208" i="6"/>
  <c r="D208" i="6"/>
  <c r="E208" i="6"/>
  <c r="F208" i="6"/>
  <c r="G208" i="6"/>
  <c r="H208" i="6"/>
  <c r="I208" i="6"/>
  <c r="J208" i="6"/>
  <c r="K208" i="6"/>
  <c r="L208" i="6"/>
  <c r="M208" i="6"/>
  <c r="B208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C144" i="6"/>
  <c r="D144" i="6"/>
  <c r="E144" i="6"/>
  <c r="F144" i="6"/>
  <c r="G144" i="6"/>
  <c r="H144" i="6"/>
  <c r="I144" i="6"/>
  <c r="J144" i="6"/>
  <c r="K144" i="6"/>
  <c r="L144" i="6"/>
  <c r="M144" i="6"/>
  <c r="B144" i="6"/>
  <c r="B74" i="6" l="1"/>
  <c r="C74" i="6"/>
  <c r="D74" i="6"/>
  <c r="E74" i="6"/>
  <c r="F74" i="6"/>
  <c r="G74" i="6"/>
  <c r="H74" i="6"/>
  <c r="I74" i="6"/>
  <c r="J74" i="6"/>
  <c r="K74" i="6"/>
  <c r="L74" i="6"/>
  <c r="M74" i="6"/>
  <c r="N74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C73" i="6"/>
  <c r="D73" i="6"/>
  <c r="E73" i="6"/>
  <c r="F73" i="6"/>
  <c r="G73" i="6"/>
  <c r="H73" i="6"/>
  <c r="I73" i="6"/>
  <c r="J73" i="6"/>
  <c r="K73" i="6"/>
  <c r="L73" i="6"/>
  <c r="M73" i="6"/>
  <c r="N73" i="6"/>
  <c r="B73" i="6"/>
  <c r="B60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B53" i="6"/>
  <c r="D53" i="6"/>
  <c r="E53" i="6"/>
  <c r="F53" i="6"/>
  <c r="G53" i="6"/>
  <c r="H53" i="6"/>
  <c r="I53" i="6"/>
  <c r="J53" i="6"/>
  <c r="K53" i="6"/>
  <c r="L53" i="6"/>
  <c r="M53" i="6"/>
  <c r="N53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C60" i="6"/>
  <c r="D60" i="6"/>
  <c r="E60" i="6"/>
  <c r="F60" i="6"/>
  <c r="G60" i="6"/>
  <c r="H60" i="6"/>
  <c r="I60" i="6"/>
  <c r="J60" i="6"/>
  <c r="K60" i="6"/>
  <c r="L60" i="6"/>
  <c r="M60" i="6"/>
  <c r="N60" i="6"/>
  <c r="C21" i="6"/>
  <c r="D21" i="6"/>
  <c r="E21" i="6"/>
  <c r="F21" i="6"/>
  <c r="G21" i="6"/>
  <c r="H21" i="6"/>
  <c r="I21" i="6"/>
  <c r="J21" i="6"/>
  <c r="K21" i="6"/>
  <c r="L21" i="6"/>
  <c r="M21" i="6"/>
  <c r="N21" i="6"/>
  <c r="B21" i="6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H271" i="6"/>
  <c r="C271" i="6"/>
  <c r="M204" i="6"/>
  <c r="L204" i="6"/>
  <c r="I204" i="6"/>
  <c r="F204" i="6"/>
  <c r="E204" i="6"/>
  <c r="C204" i="6"/>
  <c r="B204" i="6"/>
  <c r="H202" i="6"/>
  <c r="C202" i="6"/>
  <c r="M136" i="6"/>
  <c r="L136" i="6"/>
  <c r="I136" i="6"/>
  <c r="F136" i="6"/>
  <c r="E136" i="6"/>
  <c r="C136" i="6"/>
  <c r="B136" i="6"/>
  <c r="H134" i="6"/>
  <c r="C134" i="6"/>
  <c r="M69" i="6"/>
  <c r="L69" i="6"/>
  <c r="I69" i="6"/>
  <c r="F69" i="6"/>
  <c r="E69" i="6"/>
  <c r="C69" i="6"/>
  <c r="B69" i="6"/>
  <c r="AC12" i="3"/>
  <c r="AD12" i="3"/>
  <c r="AE12" i="3"/>
  <c r="AC13" i="3"/>
  <c r="AD13" i="3"/>
  <c r="AE13" i="3"/>
  <c r="AC15" i="3"/>
  <c r="AD15" i="3"/>
  <c r="AE15" i="3"/>
  <c r="AC16" i="3"/>
  <c r="AD16" i="3"/>
  <c r="AE16" i="3"/>
  <c r="AC17" i="3"/>
  <c r="AD17" i="3"/>
  <c r="AE17" i="3"/>
  <c r="AC18" i="3"/>
  <c r="AD18" i="3"/>
  <c r="AE18" i="3"/>
  <c r="AC20" i="3"/>
  <c r="AD20" i="3"/>
  <c r="AE20" i="3"/>
  <c r="AC22" i="3"/>
  <c r="AD22" i="3"/>
  <c r="AE22" i="3"/>
  <c r="AC23" i="3"/>
  <c r="AD23" i="3"/>
  <c r="AE23" i="3"/>
  <c r="AC25" i="3"/>
  <c r="AD25" i="3"/>
  <c r="AE25" i="3"/>
  <c r="AC26" i="3"/>
  <c r="AD26" i="3"/>
  <c r="AE26" i="3"/>
  <c r="AC27" i="3"/>
  <c r="AD27" i="3"/>
  <c r="AE27" i="3"/>
  <c r="AC28" i="3"/>
  <c r="AD28" i="3"/>
  <c r="AE28" i="3"/>
  <c r="AC30" i="3"/>
  <c r="AD30" i="3"/>
  <c r="AE30" i="3"/>
  <c r="BE3" i="2"/>
  <c r="BE4" i="2" s="1"/>
  <c r="AK4" i="2"/>
  <c r="AL4" i="2"/>
  <c r="AM4" i="2"/>
  <c r="AQ4" i="2"/>
  <c r="AR4" i="2"/>
  <c r="AS4" i="2"/>
  <c r="AW4" i="2"/>
  <c r="AX4" i="2"/>
  <c r="AY4" i="2"/>
  <c r="R5" i="2"/>
  <c r="S5" i="2"/>
  <c r="T5" i="2"/>
  <c r="W5" i="2"/>
  <c r="AM5" i="2" s="1"/>
  <c r="AA5" i="2"/>
  <c r="AQ5" i="2" s="1"/>
  <c r="AK5" i="2"/>
  <c r="AL5" i="2"/>
  <c r="AR5" i="2"/>
  <c r="AS5" i="2"/>
  <c r="AW5" i="2"/>
  <c r="AX5" i="2"/>
  <c r="AY5" i="2"/>
  <c r="AK6" i="2"/>
  <c r="AL6" i="2"/>
  <c r="AM6" i="2"/>
  <c r="AQ6" i="2"/>
  <c r="AR6" i="2"/>
  <c r="AS6" i="2"/>
  <c r="AW6" i="2"/>
  <c r="AX6" i="2"/>
  <c r="AY6" i="2"/>
  <c r="R7" i="2"/>
  <c r="S7" i="2"/>
  <c r="T7" i="2"/>
  <c r="W7" i="2"/>
  <c r="AM7" i="2" s="1"/>
  <c r="AA7" i="2"/>
  <c r="AQ7" i="2" s="1"/>
  <c r="AI7" i="2"/>
  <c r="AY7" i="2" s="1"/>
  <c r="AK7" i="2"/>
  <c r="AL7" i="2"/>
  <c r="AR7" i="2"/>
  <c r="AS7" i="2"/>
  <c r="AW7" i="2"/>
  <c r="AX7" i="2"/>
  <c r="AK8" i="2"/>
  <c r="AL8" i="2"/>
  <c r="AM8" i="2"/>
  <c r="AQ8" i="2"/>
  <c r="AR8" i="2"/>
  <c r="AS8" i="2"/>
  <c r="AW8" i="2"/>
  <c r="AX8" i="2"/>
  <c r="AY8" i="2"/>
  <c r="V9" i="2"/>
  <c r="AL9" i="2" s="1"/>
  <c r="W9" i="2"/>
  <c r="AM9" i="2" s="1"/>
  <c r="AA9" i="2"/>
  <c r="AQ9" i="2" s="1"/>
  <c r="AI9" i="2"/>
  <c r="AY9" i="2" s="1"/>
  <c r="AK9" i="2"/>
  <c r="AR9" i="2"/>
  <c r="AS9" i="2"/>
  <c r="AW9" i="2"/>
  <c r="AX9" i="2"/>
  <c r="AK10" i="2"/>
  <c r="AL10" i="2"/>
  <c r="AM10" i="2"/>
  <c r="AQ10" i="2"/>
  <c r="AR10" i="2"/>
  <c r="AS10" i="2"/>
  <c r="AW10" i="2"/>
  <c r="AX10" i="2"/>
  <c r="AY10" i="2"/>
  <c r="V11" i="2"/>
  <c r="AL11" i="2" s="1"/>
  <c r="W11" i="2"/>
  <c r="AM11" i="2" s="1"/>
  <c r="AA11" i="2"/>
  <c r="AQ11" i="2" s="1"/>
  <c r="AC11" i="2"/>
  <c r="AS11" i="2" s="1"/>
  <c r="AI11" i="2"/>
  <c r="AY11" i="2" s="1"/>
  <c r="AK11" i="2"/>
  <c r="AR11" i="2"/>
  <c r="AW11" i="2"/>
  <c r="AX11" i="2"/>
  <c r="AK12" i="2"/>
  <c r="AL12" i="2"/>
  <c r="AM12" i="2"/>
  <c r="AQ12" i="2"/>
  <c r="AR12" i="2"/>
  <c r="AS12" i="2"/>
  <c r="AW12" i="2"/>
  <c r="AX12" i="2"/>
  <c r="AY12" i="2"/>
  <c r="V13" i="2"/>
  <c r="AL13" i="2" s="1"/>
  <c r="W13" i="2"/>
  <c r="AM13" i="2" s="1"/>
  <c r="AA13" i="2"/>
  <c r="AQ13" i="2" s="1"/>
  <c r="AC13" i="2"/>
  <c r="AS13" i="2" s="1"/>
  <c r="AI13" i="2"/>
  <c r="AY13" i="2" s="1"/>
  <c r="AK13" i="2"/>
  <c r="AR13" i="2"/>
  <c r="AW13" i="2"/>
  <c r="AX13" i="2"/>
  <c r="AK14" i="2"/>
  <c r="AL14" i="2"/>
  <c r="AM14" i="2"/>
  <c r="AQ14" i="2"/>
  <c r="AR14" i="2"/>
  <c r="AS14" i="2"/>
  <c r="AW14" i="2"/>
  <c r="AX14" i="2"/>
  <c r="AY14" i="2"/>
  <c r="BE14" i="2"/>
  <c r="Q100" i="2" s="1"/>
  <c r="V15" i="2"/>
  <c r="AL15" i="2" s="1"/>
  <c r="W15" i="2"/>
  <c r="AM15" i="2" s="1"/>
  <c r="AA15" i="2"/>
  <c r="AQ15" i="2" s="1"/>
  <c r="AC15" i="2"/>
  <c r="AS15" i="2" s="1"/>
  <c r="AI15" i="2"/>
  <c r="AY15" i="2" s="1"/>
  <c r="AK15" i="2"/>
  <c r="AR15" i="2"/>
  <c r="AW15" i="2"/>
  <c r="AX15" i="2"/>
  <c r="AK16" i="2"/>
  <c r="AL16" i="2"/>
  <c r="AM16" i="2"/>
  <c r="AQ16" i="2"/>
  <c r="AR16" i="2"/>
  <c r="AS16" i="2"/>
  <c r="AW16" i="2"/>
  <c r="AX16" i="2"/>
  <c r="AY16" i="2"/>
  <c r="U17" i="2"/>
  <c r="AK17" i="2" s="1"/>
  <c r="V17" i="2"/>
  <c r="AL17" i="2" s="1"/>
  <c r="W17" i="2"/>
  <c r="AM17" i="2" s="1"/>
  <c r="AA17" i="2"/>
  <c r="AQ17" i="2" s="1"/>
  <c r="AC17" i="2"/>
  <c r="AS17" i="2" s="1"/>
  <c r="AF17" i="2"/>
  <c r="AV17" i="2" s="1"/>
  <c r="AI17" i="2"/>
  <c r="AY17" i="2" s="1"/>
  <c r="AR17" i="2"/>
  <c r="AW17" i="2"/>
  <c r="AX17" i="2"/>
  <c r="AK18" i="2"/>
  <c r="AL18" i="2"/>
  <c r="AM18" i="2"/>
  <c r="AQ18" i="2"/>
  <c r="AR18" i="2"/>
  <c r="AS18" i="2"/>
  <c r="AV18" i="2"/>
  <c r="AW18" i="2"/>
  <c r="AX18" i="2"/>
  <c r="AY18" i="2"/>
  <c r="BE18" i="2"/>
  <c r="I37" i="2" s="1"/>
  <c r="U19" i="2"/>
  <c r="AK19" i="2" s="1"/>
  <c r="V19" i="2"/>
  <c r="AL19" i="2" s="1"/>
  <c r="W19" i="2"/>
  <c r="AM19" i="2" s="1"/>
  <c r="Z19" i="2"/>
  <c r="AA19" i="2"/>
  <c r="AQ19" i="2" s="1"/>
  <c r="AC19" i="2"/>
  <c r="AS19" i="2" s="1"/>
  <c r="AF19" i="2"/>
  <c r="AV19" i="2" s="1"/>
  <c r="AI19" i="2"/>
  <c r="AY19" i="2" s="1"/>
  <c r="AR19" i="2"/>
  <c r="AW19" i="2"/>
  <c r="AX19" i="2"/>
  <c r="AK20" i="2"/>
  <c r="AL20" i="2"/>
  <c r="AM20" i="2"/>
  <c r="AP20" i="2"/>
  <c r="AQ20" i="2"/>
  <c r="AR20" i="2"/>
  <c r="AS20" i="2"/>
  <c r="AV20" i="2"/>
  <c r="AW20" i="2"/>
  <c r="AX20" i="2"/>
  <c r="AY20" i="2"/>
  <c r="U21" i="2"/>
  <c r="AK21" i="2" s="1"/>
  <c r="V21" i="2"/>
  <c r="AL21" i="2" s="1"/>
  <c r="W21" i="2"/>
  <c r="AM21" i="2" s="1"/>
  <c r="Z21" i="2"/>
  <c r="AP21" i="2" s="1"/>
  <c r="AA21" i="2"/>
  <c r="AQ21" i="2" s="1"/>
  <c r="AC21" i="2"/>
  <c r="AS21" i="2" s="1"/>
  <c r="AF21" i="2"/>
  <c r="AV21" i="2" s="1"/>
  <c r="AI21" i="2"/>
  <c r="AY21" i="2" s="1"/>
  <c r="AR21" i="2"/>
  <c r="AW21" i="2"/>
  <c r="AX21" i="2"/>
  <c r="AK22" i="2"/>
  <c r="AL22" i="2"/>
  <c r="AM22" i="2"/>
  <c r="AP22" i="2"/>
  <c r="AQ22" i="2"/>
  <c r="AR22" i="2"/>
  <c r="AS22" i="2"/>
  <c r="AV22" i="2"/>
  <c r="AW22" i="2"/>
  <c r="AX22" i="2"/>
  <c r="AY22" i="2"/>
  <c r="BE22" i="2"/>
  <c r="BE23" i="2" s="1"/>
  <c r="BE24" i="2" s="1"/>
  <c r="U23" i="2"/>
  <c r="AK23" i="2" s="1"/>
  <c r="V23" i="2"/>
  <c r="AL23" i="2" s="1"/>
  <c r="W23" i="2"/>
  <c r="AM23" i="2" s="1"/>
  <c r="Z23" i="2"/>
  <c r="AP23" i="2" s="1"/>
  <c r="AA23" i="2"/>
  <c r="AQ23" i="2" s="1"/>
  <c r="AC23" i="2"/>
  <c r="AS23" i="2" s="1"/>
  <c r="AF23" i="2"/>
  <c r="AV23" i="2" s="1"/>
  <c r="AI23" i="2"/>
  <c r="AY23" i="2" s="1"/>
  <c r="AR23" i="2"/>
  <c r="AW23" i="2"/>
  <c r="AX23" i="2"/>
  <c r="AK24" i="2"/>
  <c r="AL24" i="2"/>
  <c r="AM24" i="2"/>
  <c r="AP24" i="2"/>
  <c r="AQ24" i="2"/>
  <c r="AR24" i="2"/>
  <c r="AS24" i="2"/>
  <c r="AV24" i="2"/>
  <c r="AW24" i="2"/>
  <c r="AX24" i="2"/>
  <c r="AY24" i="2"/>
  <c r="U25" i="2"/>
  <c r="AK25" i="2" s="1"/>
  <c r="W25" i="2"/>
  <c r="AM25" i="2" s="1"/>
  <c r="Z25" i="2"/>
  <c r="AP25" i="2" s="1"/>
  <c r="AA25" i="2"/>
  <c r="AQ25" i="2" s="1"/>
  <c r="AC25" i="2"/>
  <c r="AS25" i="2" s="1"/>
  <c r="AF25" i="2"/>
  <c r="AV25" i="2" s="1"/>
  <c r="AI25" i="2"/>
  <c r="AY25" i="2" s="1"/>
  <c r="AL25" i="2"/>
  <c r="AR25" i="2"/>
  <c r="AW25" i="2"/>
  <c r="AX25" i="2"/>
  <c r="AK26" i="2"/>
  <c r="AL26" i="2"/>
  <c r="AM26" i="2"/>
  <c r="AP26" i="2"/>
  <c r="AQ26" i="2"/>
  <c r="AR26" i="2"/>
  <c r="AS26" i="2"/>
  <c r="AV26" i="2"/>
  <c r="AW26" i="2"/>
  <c r="AX26" i="2"/>
  <c r="AY26" i="2"/>
  <c r="U27" i="2"/>
  <c r="AK27" i="2" s="1"/>
  <c r="W27" i="2"/>
  <c r="AM27" i="2" s="1"/>
  <c r="Z27" i="2"/>
  <c r="AP27" i="2" s="1"/>
  <c r="AA27" i="2"/>
  <c r="AQ27" i="2" s="1"/>
  <c r="AC27" i="2"/>
  <c r="AS27" i="2" s="1"/>
  <c r="AF27" i="2"/>
  <c r="AV27" i="2" s="1"/>
  <c r="AI27" i="2"/>
  <c r="AY27" i="2" s="1"/>
  <c r="AL27" i="2"/>
  <c r="AR27" i="2"/>
  <c r="AW27" i="2"/>
  <c r="AX27" i="2"/>
  <c r="AK28" i="2"/>
  <c r="AL28" i="2"/>
  <c r="AM28" i="2"/>
  <c r="AP28" i="2"/>
  <c r="AQ28" i="2"/>
  <c r="AR28" i="2"/>
  <c r="AS28" i="2"/>
  <c r="AV28" i="2"/>
  <c r="AW28" i="2"/>
  <c r="AX28" i="2"/>
  <c r="AY28" i="2"/>
  <c r="U29" i="2"/>
  <c r="AK29" i="2" s="1"/>
  <c r="W29" i="2"/>
  <c r="AM29" i="2" s="1"/>
  <c r="Z29" i="2"/>
  <c r="AP29" i="2" s="1"/>
  <c r="AA29" i="2"/>
  <c r="AQ29" i="2" s="1"/>
  <c r="AC29" i="2"/>
  <c r="AS29" i="2" s="1"/>
  <c r="AE29" i="2"/>
  <c r="AU29" i="2" s="1"/>
  <c r="AF29" i="2"/>
  <c r="AV29" i="2" s="1"/>
  <c r="AI29" i="2"/>
  <c r="AY29" i="2" s="1"/>
  <c r="AL29" i="2"/>
  <c r="AR29" i="2"/>
  <c r="AW29" i="2"/>
  <c r="AX29" i="2"/>
  <c r="AK30" i="2"/>
  <c r="AL30" i="2"/>
  <c r="AM30" i="2"/>
  <c r="AP30" i="2"/>
  <c r="AQ30" i="2"/>
  <c r="AR30" i="2"/>
  <c r="AS30" i="2"/>
  <c r="AU30" i="2"/>
  <c r="AV30" i="2"/>
  <c r="AW30" i="2"/>
  <c r="AX30" i="2"/>
  <c r="AY30" i="2"/>
  <c r="U31" i="2"/>
  <c r="AK31" i="2" s="1"/>
  <c r="W31" i="2"/>
  <c r="AM31" i="2" s="1"/>
  <c r="Z31" i="2"/>
  <c r="AP31" i="2" s="1"/>
  <c r="AA31" i="2"/>
  <c r="AQ31" i="2" s="1"/>
  <c r="AB31" i="2"/>
  <c r="AR31" i="2" s="1"/>
  <c r="AC31" i="2"/>
  <c r="AS31" i="2" s="1"/>
  <c r="AE31" i="2"/>
  <c r="AU31" i="2" s="1"/>
  <c r="AF31" i="2"/>
  <c r="AV31" i="2" s="1"/>
  <c r="AH31" i="2"/>
  <c r="AX31" i="2" s="1"/>
  <c r="AI31" i="2"/>
  <c r="AY31" i="2" s="1"/>
  <c r="AL31" i="2"/>
  <c r="AW31" i="2"/>
  <c r="BE31" i="2"/>
  <c r="BE32" i="2" s="1"/>
  <c r="BE33" i="2" s="1"/>
  <c r="AK32" i="2"/>
  <c r="AL32" i="2"/>
  <c r="AM32" i="2"/>
  <c r="AP32" i="2"/>
  <c r="AQ32" i="2"/>
  <c r="AR32" i="2"/>
  <c r="AS32" i="2"/>
  <c r="AU32" i="2"/>
  <c r="AV32" i="2"/>
  <c r="AW32" i="2"/>
  <c r="AX32" i="2"/>
  <c r="AY32" i="2"/>
  <c r="U33" i="2"/>
  <c r="AK33" i="2" s="1"/>
  <c r="W33" i="2"/>
  <c r="AM33" i="2" s="1"/>
  <c r="Z33" i="2"/>
  <c r="AP33" i="2" s="1"/>
  <c r="AA33" i="2"/>
  <c r="AQ33" i="2" s="1"/>
  <c r="AB33" i="2"/>
  <c r="AR33" i="2" s="1"/>
  <c r="AC33" i="2"/>
  <c r="AS33" i="2" s="1"/>
  <c r="AE33" i="2"/>
  <c r="AU33" i="2" s="1"/>
  <c r="AF33" i="2"/>
  <c r="AV33" i="2" s="1"/>
  <c r="AH33" i="2"/>
  <c r="AX33" i="2" s="1"/>
  <c r="AI33" i="2"/>
  <c r="AY33" i="2" s="1"/>
  <c r="AL33" i="2"/>
  <c r="AW33" i="2"/>
  <c r="AK34" i="2"/>
  <c r="AL34" i="2"/>
  <c r="AM34" i="2"/>
  <c r="AP34" i="2"/>
  <c r="AQ34" i="2"/>
  <c r="AR34" i="2"/>
  <c r="AS34" i="2"/>
  <c r="AU34" i="2"/>
  <c r="AV34" i="2"/>
  <c r="AW34" i="2"/>
  <c r="AX34" i="2"/>
  <c r="AY34" i="2"/>
  <c r="U35" i="2"/>
  <c r="AK35" i="2" s="1"/>
  <c r="W35" i="2"/>
  <c r="AM35" i="2" s="1"/>
  <c r="Y35" i="2"/>
  <c r="AO35" i="2" s="1"/>
  <c r="Z35" i="2"/>
  <c r="AP35" i="2" s="1"/>
  <c r="AA35" i="2"/>
  <c r="AQ35" i="2" s="1"/>
  <c r="AB35" i="2"/>
  <c r="AR35" i="2" s="1"/>
  <c r="AC35" i="2"/>
  <c r="AS35" i="2" s="1"/>
  <c r="AE35" i="2"/>
  <c r="AU35" i="2" s="1"/>
  <c r="AF35" i="2"/>
  <c r="AV35" i="2" s="1"/>
  <c r="AH35" i="2"/>
  <c r="AX35" i="2" s="1"/>
  <c r="AI35" i="2"/>
  <c r="AY35" i="2" s="1"/>
  <c r="AL35" i="2"/>
  <c r="AW35" i="2"/>
  <c r="AK36" i="2"/>
  <c r="AL36" i="2"/>
  <c r="AM36" i="2"/>
  <c r="AO36" i="2"/>
  <c r="AP36" i="2"/>
  <c r="AQ36" i="2"/>
  <c r="AR36" i="2"/>
  <c r="AS36" i="2"/>
  <c r="AU36" i="2"/>
  <c r="AV36" i="2"/>
  <c r="AW36" i="2"/>
  <c r="AX36" i="2"/>
  <c r="AY36" i="2"/>
  <c r="U37" i="2"/>
  <c r="AK37" i="2" s="1"/>
  <c r="W37" i="2"/>
  <c r="AM37" i="2" s="1"/>
  <c r="Y37" i="2"/>
  <c r="AO37" i="2" s="1"/>
  <c r="Z37" i="2"/>
  <c r="AA37" i="2"/>
  <c r="AQ37" i="2" s="1"/>
  <c r="AB37" i="2"/>
  <c r="AR37" i="2" s="1"/>
  <c r="AC37" i="2"/>
  <c r="AS37" i="2" s="1"/>
  <c r="AE37" i="2"/>
  <c r="AU37" i="2" s="1"/>
  <c r="AF37" i="2"/>
  <c r="AV37" i="2" s="1"/>
  <c r="AH37" i="2"/>
  <c r="AX37" i="2" s="1"/>
  <c r="AI37" i="2"/>
  <c r="AY37" i="2" s="1"/>
  <c r="AL37" i="2"/>
  <c r="AW37" i="2"/>
  <c r="AK38" i="2"/>
  <c r="AL38" i="2"/>
  <c r="AM38" i="2"/>
  <c r="AO38" i="2"/>
  <c r="AQ38" i="2"/>
  <c r="AR38" i="2"/>
  <c r="AS38" i="2"/>
  <c r="AU38" i="2"/>
  <c r="AV38" i="2"/>
  <c r="AW38" i="2"/>
  <c r="AX38" i="2"/>
  <c r="AY38" i="2"/>
  <c r="U39" i="2"/>
  <c r="AK39" i="2" s="1"/>
  <c r="W39" i="2"/>
  <c r="AM39" i="2" s="1"/>
  <c r="Y39" i="2"/>
  <c r="AO39" i="2" s="1"/>
  <c r="AA39" i="2"/>
  <c r="AQ39" i="2" s="1"/>
  <c r="AB39" i="2"/>
  <c r="AR39" i="2" s="1"/>
  <c r="AC39" i="2"/>
  <c r="AS39" i="2" s="1"/>
  <c r="AE39" i="2"/>
  <c r="AU39" i="2" s="1"/>
  <c r="AF39" i="2"/>
  <c r="AV39" i="2" s="1"/>
  <c r="AH39" i="2"/>
  <c r="AX39" i="2" s="1"/>
  <c r="AI39" i="2"/>
  <c r="AY39" i="2" s="1"/>
  <c r="AL39" i="2"/>
  <c r="AW39" i="2"/>
  <c r="BE39" i="2"/>
  <c r="AK40" i="2"/>
  <c r="AL40" i="2"/>
  <c r="AM40" i="2"/>
  <c r="AO40" i="2"/>
  <c r="AQ40" i="2"/>
  <c r="AR40" i="2"/>
  <c r="AS40" i="2"/>
  <c r="AU40" i="2"/>
  <c r="AW40" i="2"/>
  <c r="AX40" i="2"/>
  <c r="AY40" i="2"/>
  <c r="BE40" i="2"/>
  <c r="U41" i="2"/>
  <c r="AK41" i="2" s="1"/>
  <c r="W41" i="2"/>
  <c r="AM41" i="2" s="1"/>
  <c r="Y41" i="2"/>
  <c r="AO41" i="2" s="1"/>
  <c r="AA41" i="2"/>
  <c r="AQ41" i="2" s="1"/>
  <c r="AB41" i="2"/>
  <c r="AR41" i="2" s="1"/>
  <c r="AE41" i="2"/>
  <c r="AU41" i="2" s="1"/>
  <c r="AH41" i="2"/>
  <c r="AX41" i="2" s="1"/>
  <c r="AI41" i="2"/>
  <c r="AY41" i="2" s="1"/>
  <c r="AL41" i="2"/>
  <c r="AS41" i="2"/>
  <c r="AW41" i="2"/>
  <c r="AK42" i="2"/>
  <c r="AL42" i="2"/>
  <c r="AM42" i="2"/>
  <c r="AO42" i="2"/>
  <c r="AQ42" i="2"/>
  <c r="AR42" i="2"/>
  <c r="AS42" i="2"/>
  <c r="AU42" i="2"/>
  <c r="AW42" i="2"/>
  <c r="AX42" i="2"/>
  <c r="AY42" i="2"/>
  <c r="U43" i="2"/>
  <c r="W43" i="2"/>
  <c r="AM43" i="2" s="1"/>
  <c r="Y43" i="2"/>
  <c r="AO43" i="2" s="1"/>
  <c r="AA43" i="2"/>
  <c r="AQ43" i="2" s="1"/>
  <c r="AB43" i="2"/>
  <c r="AR43" i="2" s="1"/>
  <c r="AE43" i="2"/>
  <c r="AU43" i="2" s="1"/>
  <c r="AH43" i="2"/>
  <c r="AX43" i="2" s="1"/>
  <c r="AI43" i="2"/>
  <c r="AY43" i="2" s="1"/>
  <c r="AK43" i="2"/>
  <c r="AL43" i="2"/>
  <c r="AS43" i="2"/>
  <c r="AW43" i="2"/>
  <c r="AK44" i="2"/>
  <c r="AL44" i="2"/>
  <c r="AM44" i="2"/>
  <c r="AO44" i="2"/>
  <c r="AQ44" i="2"/>
  <c r="AR44" i="2"/>
  <c r="AS44" i="2"/>
  <c r="AU44" i="2"/>
  <c r="AW44" i="2"/>
  <c r="AX44" i="2"/>
  <c r="AY44" i="2"/>
  <c r="U45" i="2"/>
  <c r="AK45" i="2" s="1"/>
  <c r="Y45" i="2"/>
  <c r="AO45" i="2" s="1"/>
  <c r="AA45" i="2"/>
  <c r="AQ45" i="2" s="1"/>
  <c r="AB45" i="2"/>
  <c r="AR45" i="2" s="1"/>
  <c r="AE45" i="2"/>
  <c r="AU45" i="2" s="1"/>
  <c r="AH45" i="2"/>
  <c r="AX45" i="2" s="1"/>
  <c r="AI45" i="2"/>
  <c r="AY45" i="2" s="1"/>
  <c r="AL45" i="2"/>
  <c r="AM45" i="2"/>
  <c r="AS45" i="2"/>
  <c r="AW45" i="2"/>
  <c r="AK46" i="2"/>
  <c r="AL46" i="2"/>
  <c r="AM46" i="2"/>
  <c r="AO46" i="2"/>
  <c r="AQ46" i="2"/>
  <c r="AR46" i="2"/>
  <c r="AS46" i="2"/>
  <c r="AU46" i="2"/>
  <c r="AW46" i="2"/>
  <c r="AX46" i="2"/>
  <c r="AY46" i="2"/>
  <c r="U47" i="2"/>
  <c r="AK47" i="2" s="1"/>
  <c r="Y47" i="2"/>
  <c r="AO47" i="2" s="1"/>
  <c r="AA47" i="2"/>
  <c r="AQ47" i="2" s="1"/>
  <c r="AB47" i="2"/>
  <c r="AR47" i="2" s="1"/>
  <c r="AE47" i="2"/>
  <c r="AU47" i="2" s="1"/>
  <c r="AH47" i="2"/>
  <c r="AX47" i="2" s="1"/>
  <c r="AL47" i="2"/>
  <c r="AM47" i="2"/>
  <c r="AS47" i="2"/>
  <c r="AW47" i="2"/>
  <c r="AY47" i="2"/>
  <c r="AK48" i="2"/>
  <c r="AL48" i="2"/>
  <c r="AM48" i="2"/>
  <c r="AO48" i="2"/>
  <c r="AQ48" i="2"/>
  <c r="AR48" i="2"/>
  <c r="AS48" i="2"/>
  <c r="AU48" i="2"/>
  <c r="AW48" i="2"/>
  <c r="AX48" i="2"/>
  <c r="AY48" i="2"/>
  <c r="U49" i="2"/>
  <c r="AK49" i="2" s="1"/>
  <c r="Y49" i="2"/>
  <c r="AO49" i="2" s="1"/>
  <c r="AA49" i="2"/>
  <c r="AQ49" i="2" s="1"/>
  <c r="AB49" i="2"/>
  <c r="AR49" i="2" s="1"/>
  <c r="AE49" i="2"/>
  <c r="AU49" i="2" s="1"/>
  <c r="AG49" i="2"/>
  <c r="AW49" i="2" s="1"/>
  <c r="AH49" i="2"/>
  <c r="AX49" i="2" s="1"/>
  <c r="AL49" i="2"/>
  <c r="AM49" i="2"/>
  <c r="AS49" i="2"/>
  <c r="AY49" i="2"/>
  <c r="AK50" i="2"/>
  <c r="AL50" i="2"/>
  <c r="AM50" i="2"/>
  <c r="AO50" i="2"/>
  <c r="AQ50" i="2"/>
  <c r="AR50" i="2"/>
  <c r="AS50" i="2"/>
  <c r="AU50" i="2"/>
  <c r="AW50" i="2"/>
  <c r="AX50" i="2"/>
  <c r="AY50" i="2"/>
  <c r="U51" i="2"/>
  <c r="AK51" i="2" s="1"/>
  <c r="Y51" i="2"/>
  <c r="AO51" i="2" s="1"/>
  <c r="AA51" i="2"/>
  <c r="AQ51" i="2" s="1"/>
  <c r="AB51" i="2"/>
  <c r="AR51" i="2" s="1"/>
  <c r="AE51" i="2"/>
  <c r="AU51" i="2" s="1"/>
  <c r="AG51" i="2"/>
  <c r="AW51" i="2" s="1"/>
  <c r="AH51" i="2"/>
  <c r="AX51" i="2" s="1"/>
  <c r="AL51" i="2"/>
  <c r="AM51" i="2"/>
  <c r="AS51" i="2"/>
  <c r="AY51" i="2"/>
  <c r="AK52" i="2"/>
  <c r="AL52" i="2"/>
  <c r="AM52" i="2"/>
  <c r="AO52" i="2"/>
  <c r="AQ52" i="2"/>
  <c r="AR52" i="2"/>
  <c r="AS52" i="2"/>
  <c r="AU52" i="2"/>
  <c r="AW52" i="2"/>
  <c r="AX52" i="2"/>
  <c r="AY52" i="2"/>
  <c r="U53" i="2"/>
  <c r="AK53" i="2" s="1"/>
  <c r="Y53" i="2"/>
  <c r="AO53" i="2" s="1"/>
  <c r="AA53" i="2"/>
  <c r="AQ53" i="2" s="1"/>
  <c r="AB53" i="2"/>
  <c r="AR53" i="2" s="1"/>
  <c r="AE53" i="2"/>
  <c r="AU53" i="2" s="1"/>
  <c r="AG53" i="2"/>
  <c r="AW53" i="2" s="1"/>
  <c r="AH53" i="2"/>
  <c r="AX53" i="2" s="1"/>
  <c r="AL53" i="2"/>
  <c r="AM53" i="2"/>
  <c r="AS53" i="2"/>
  <c r="AY53" i="2"/>
  <c r="AK54" i="2"/>
  <c r="AL54" i="2"/>
  <c r="AM54" i="2"/>
  <c r="AO54" i="2"/>
  <c r="AQ54" i="2"/>
  <c r="AR54" i="2"/>
  <c r="AS54" i="2"/>
  <c r="AU54" i="2"/>
  <c r="AW54" i="2"/>
  <c r="AX54" i="2"/>
  <c r="AY54" i="2"/>
  <c r="U55" i="2"/>
  <c r="AK55" i="2" s="1"/>
  <c r="X55" i="2"/>
  <c r="X54" i="2" s="1"/>
  <c r="Y55" i="2"/>
  <c r="AO55" i="2" s="1"/>
  <c r="AA55" i="2"/>
  <c r="AQ55" i="2" s="1"/>
  <c r="AB55" i="2"/>
  <c r="AR55" i="2" s="1"/>
  <c r="AE55" i="2"/>
  <c r="AU55" i="2" s="1"/>
  <c r="AG55" i="2"/>
  <c r="AW55" i="2" s="1"/>
  <c r="AH55" i="2"/>
  <c r="AX55" i="2" s="1"/>
  <c r="AL55" i="2"/>
  <c r="AM55" i="2"/>
  <c r="AS55" i="2"/>
  <c r="AY55" i="2"/>
  <c r="AK56" i="2"/>
  <c r="AL56" i="2"/>
  <c r="AM56" i="2"/>
  <c r="AN56" i="2"/>
  <c r="AQ56" i="2"/>
  <c r="AR56" i="2"/>
  <c r="AS56" i="2"/>
  <c r="AU56" i="2"/>
  <c r="AW56" i="2"/>
  <c r="AX56" i="2"/>
  <c r="AY56" i="2"/>
  <c r="U57" i="2"/>
  <c r="AK57" i="2" s="1"/>
  <c r="X57" i="2"/>
  <c r="AN57" i="2" s="1"/>
  <c r="AA57" i="2"/>
  <c r="AQ57" i="2" s="1"/>
  <c r="AB57" i="2"/>
  <c r="AR57" i="2" s="1"/>
  <c r="AE57" i="2"/>
  <c r="AU57" i="2" s="1"/>
  <c r="AG57" i="2"/>
  <c r="AW57" i="2" s="1"/>
  <c r="AH57" i="2"/>
  <c r="AX57" i="2" s="1"/>
  <c r="AL57" i="2"/>
  <c r="AM57" i="2"/>
  <c r="AS57" i="2"/>
  <c r="AY57" i="2"/>
  <c r="AK58" i="2"/>
  <c r="AL58" i="2"/>
  <c r="AM58" i="2"/>
  <c r="AN58" i="2"/>
  <c r="AQ58" i="2"/>
  <c r="AR58" i="2"/>
  <c r="AS58" i="2"/>
  <c r="AU58" i="2"/>
  <c r="AW58" i="2"/>
  <c r="AX58" i="2"/>
  <c r="AY58" i="2"/>
  <c r="U59" i="2"/>
  <c r="AK59" i="2" s="1"/>
  <c r="X59" i="2"/>
  <c r="AN59" i="2" s="1"/>
  <c r="AA59" i="2"/>
  <c r="AQ59" i="2" s="1"/>
  <c r="AB59" i="2"/>
  <c r="AR59" i="2" s="1"/>
  <c r="AD59" i="2"/>
  <c r="AD58" i="2" s="1"/>
  <c r="AE59" i="2"/>
  <c r="AG59" i="2"/>
  <c r="AW59" i="2" s="1"/>
  <c r="AH59" i="2"/>
  <c r="AX59" i="2" s="1"/>
  <c r="AL59" i="2"/>
  <c r="AM59" i="2"/>
  <c r="AS59" i="2"/>
  <c r="AY59" i="2"/>
  <c r="AK60" i="2"/>
  <c r="AL60" i="2"/>
  <c r="AM60" i="2"/>
  <c r="AN60" i="2"/>
  <c r="AQ60" i="2"/>
  <c r="AR60" i="2"/>
  <c r="AS60" i="2"/>
  <c r="AT60" i="2"/>
  <c r="AW60" i="2"/>
  <c r="AX60" i="2"/>
  <c r="AY60" i="2"/>
  <c r="U61" i="2"/>
  <c r="AK61" i="2" s="1"/>
  <c r="X61" i="2"/>
  <c r="AN61" i="2" s="1"/>
  <c r="AA61" i="2"/>
  <c r="AQ61" i="2" s="1"/>
  <c r="AB61" i="2"/>
  <c r="AR61" i="2" s="1"/>
  <c r="AD61" i="2"/>
  <c r="AT61" i="2" s="1"/>
  <c r="AG61" i="2"/>
  <c r="AW61" i="2" s="1"/>
  <c r="AH61" i="2"/>
  <c r="AX61" i="2" s="1"/>
  <c r="AL61" i="2"/>
  <c r="AM61" i="2"/>
  <c r="AS61" i="2"/>
  <c r="AY61" i="2"/>
  <c r="AK62" i="2"/>
  <c r="AL62" i="2"/>
  <c r="AM62" i="2"/>
  <c r="AN62" i="2"/>
  <c r="AQ62" i="2"/>
  <c r="AR62" i="2"/>
  <c r="AS62" i="2"/>
  <c r="AT62" i="2"/>
  <c r="AW62" i="2"/>
  <c r="AX62" i="2"/>
  <c r="AY62" i="2"/>
  <c r="U63" i="2"/>
  <c r="AK63" i="2" s="1"/>
  <c r="X63" i="2"/>
  <c r="AN63" i="2" s="1"/>
  <c r="AA63" i="2"/>
  <c r="AQ63" i="2" s="1"/>
  <c r="AD63" i="2"/>
  <c r="AT63" i="2" s="1"/>
  <c r="AG63" i="2"/>
  <c r="AW63" i="2" s="1"/>
  <c r="AL63" i="2"/>
  <c r="AM63" i="2"/>
  <c r="AR63" i="2"/>
  <c r="AS63" i="2"/>
  <c r="AX63" i="2"/>
  <c r="AY63" i="2"/>
  <c r="AK64" i="2"/>
  <c r="AL64" i="2"/>
  <c r="AM64" i="2"/>
  <c r="AN64" i="2"/>
  <c r="AQ64" i="2"/>
  <c r="AR64" i="2"/>
  <c r="AS64" i="2"/>
  <c r="AT64" i="2"/>
  <c r="AW64" i="2"/>
  <c r="AX64" i="2"/>
  <c r="AY64" i="2"/>
  <c r="U65" i="2"/>
  <c r="AK65" i="2" s="1"/>
  <c r="X65" i="2"/>
  <c r="AN65" i="2" s="1"/>
  <c r="AA65" i="2"/>
  <c r="AQ65" i="2" s="1"/>
  <c r="AD65" i="2"/>
  <c r="AT65" i="2" s="1"/>
  <c r="AG65" i="2"/>
  <c r="AW65" i="2" s="1"/>
  <c r="AL65" i="2"/>
  <c r="AM65" i="2"/>
  <c r="AR65" i="2"/>
  <c r="AS65" i="2"/>
  <c r="AX65" i="2"/>
  <c r="AY65" i="2"/>
  <c r="AK66" i="2"/>
  <c r="AL66" i="2"/>
  <c r="AM66" i="2"/>
  <c r="AN66" i="2"/>
  <c r="AQ66" i="2"/>
  <c r="AR66" i="2"/>
  <c r="AS66" i="2"/>
  <c r="AT66" i="2"/>
  <c r="AW66" i="2"/>
  <c r="AX66" i="2"/>
  <c r="AY66" i="2"/>
  <c r="U67" i="2"/>
  <c r="AK67" i="2" s="1"/>
  <c r="X67" i="2"/>
  <c r="AN67" i="2" s="1"/>
  <c r="AA67" i="2"/>
  <c r="AQ67" i="2" s="1"/>
  <c r="AD67" i="2"/>
  <c r="AT67" i="2" s="1"/>
  <c r="AG67" i="2"/>
  <c r="AW67" i="2" s="1"/>
  <c r="AL67" i="2"/>
  <c r="AM67" i="2"/>
  <c r="AR67" i="2"/>
  <c r="AS67" i="2"/>
  <c r="AX67" i="2"/>
  <c r="AY67" i="2"/>
  <c r="AK68" i="2"/>
  <c r="AL68" i="2"/>
  <c r="AM68" i="2"/>
  <c r="AN68" i="2"/>
  <c r="AQ68" i="2"/>
  <c r="AR68" i="2"/>
  <c r="AS68" i="2"/>
  <c r="AT68" i="2"/>
  <c r="AW68" i="2"/>
  <c r="AX68" i="2"/>
  <c r="AY68" i="2"/>
  <c r="U69" i="2"/>
  <c r="AK69" i="2" s="1"/>
  <c r="X69" i="2"/>
  <c r="AN69" i="2" s="1"/>
  <c r="AA69" i="2"/>
  <c r="AQ69" i="2" s="1"/>
  <c r="AD69" i="2"/>
  <c r="AT69" i="2" s="1"/>
  <c r="AG69" i="2"/>
  <c r="AW69" i="2" s="1"/>
  <c r="AL69" i="2"/>
  <c r="AM69" i="2"/>
  <c r="AR69" i="2"/>
  <c r="AS69" i="2"/>
  <c r="AX69" i="2"/>
  <c r="AY69" i="2"/>
  <c r="AK70" i="2"/>
  <c r="AL70" i="2"/>
  <c r="AM70" i="2"/>
  <c r="AN70" i="2"/>
  <c r="AQ70" i="2"/>
  <c r="AR70" i="2"/>
  <c r="AS70" i="2"/>
  <c r="AT70" i="2"/>
  <c r="AW70" i="2"/>
  <c r="AX70" i="2"/>
  <c r="AY70" i="2"/>
  <c r="U71" i="2"/>
  <c r="AK71" i="2" s="1"/>
  <c r="X71" i="2"/>
  <c r="AN71" i="2" s="1"/>
  <c r="AA71" i="2"/>
  <c r="AQ71" i="2" s="1"/>
  <c r="AD71" i="2"/>
  <c r="AT71" i="2" s="1"/>
  <c r="AG71" i="2"/>
  <c r="AW71" i="2" s="1"/>
  <c r="AL71" i="2"/>
  <c r="AM71" i="2"/>
  <c r="AR71" i="2"/>
  <c r="AS71" i="2"/>
  <c r="AX71" i="2"/>
  <c r="AY71" i="2"/>
  <c r="AK72" i="2"/>
  <c r="AL72" i="2"/>
  <c r="AM72" i="2"/>
  <c r="AN72" i="2"/>
  <c r="AQ72" i="2"/>
  <c r="AR72" i="2"/>
  <c r="AS72" i="2"/>
  <c r="AT72" i="2"/>
  <c r="AW72" i="2"/>
  <c r="AX72" i="2"/>
  <c r="AY72" i="2"/>
  <c r="U73" i="2"/>
  <c r="AK73" i="2" s="1"/>
  <c r="X73" i="2"/>
  <c r="AN73" i="2" s="1"/>
  <c r="AA73" i="2"/>
  <c r="AQ73" i="2" s="1"/>
  <c r="AD73" i="2"/>
  <c r="AT73" i="2" s="1"/>
  <c r="AG73" i="2"/>
  <c r="AW73" i="2" s="1"/>
  <c r="AL73" i="2"/>
  <c r="AM73" i="2"/>
  <c r="AR73" i="2"/>
  <c r="AS73" i="2"/>
  <c r="AX73" i="2"/>
  <c r="AY73" i="2"/>
  <c r="AK74" i="2"/>
  <c r="AL74" i="2"/>
  <c r="AM74" i="2"/>
  <c r="AN74" i="2"/>
  <c r="AQ74" i="2"/>
  <c r="AR74" i="2"/>
  <c r="AS74" i="2"/>
  <c r="AT74" i="2"/>
  <c r="AW74" i="2"/>
  <c r="AX74" i="2"/>
  <c r="AY74" i="2"/>
  <c r="U75" i="2"/>
  <c r="AK75" i="2" s="1"/>
  <c r="X75" i="2"/>
  <c r="AN75" i="2" s="1"/>
  <c r="AA75" i="2"/>
  <c r="AQ75" i="2" s="1"/>
  <c r="AD75" i="2"/>
  <c r="AT75" i="2" s="1"/>
  <c r="AG75" i="2"/>
  <c r="AW75" i="2" s="1"/>
  <c r="AL75" i="2"/>
  <c r="AM75" i="2"/>
  <c r="AR75" i="2"/>
  <c r="AS75" i="2"/>
  <c r="AX75" i="2"/>
  <c r="AY75" i="2"/>
  <c r="AK76" i="2"/>
  <c r="AL76" i="2"/>
  <c r="AM76" i="2"/>
  <c r="AN76" i="2"/>
  <c r="AQ76" i="2"/>
  <c r="AR76" i="2"/>
  <c r="AS76" i="2"/>
  <c r="AT76" i="2"/>
  <c r="AW76" i="2"/>
  <c r="AX76" i="2"/>
  <c r="AY76" i="2"/>
  <c r="U77" i="2"/>
  <c r="AK77" i="2" s="1"/>
  <c r="X77" i="2"/>
  <c r="AN77" i="2" s="1"/>
  <c r="AA77" i="2"/>
  <c r="AQ77" i="2" s="1"/>
  <c r="AD77" i="2"/>
  <c r="AT77" i="2" s="1"/>
  <c r="AG77" i="2"/>
  <c r="AW77" i="2" s="1"/>
  <c r="AL77" i="2"/>
  <c r="AM77" i="2"/>
  <c r="AR77" i="2"/>
  <c r="AS77" i="2"/>
  <c r="AX77" i="2"/>
  <c r="AY77" i="2"/>
  <c r="AK78" i="2"/>
  <c r="AL78" i="2"/>
  <c r="AM78" i="2"/>
  <c r="AN78" i="2"/>
  <c r="AQ78" i="2"/>
  <c r="AR78" i="2"/>
  <c r="AS78" i="2"/>
  <c r="AT78" i="2"/>
  <c r="AW78" i="2"/>
  <c r="AX78" i="2"/>
  <c r="AY78" i="2"/>
  <c r="U79" i="2"/>
  <c r="AK79" i="2" s="1"/>
  <c r="X79" i="2"/>
  <c r="AN79" i="2" s="1"/>
  <c r="AA79" i="2"/>
  <c r="AQ79" i="2" s="1"/>
  <c r="AD79" i="2"/>
  <c r="AT79" i="2" s="1"/>
  <c r="AG79" i="2"/>
  <c r="AW79" i="2" s="1"/>
  <c r="AL79" i="2"/>
  <c r="AM79" i="2"/>
  <c r="AR79" i="2"/>
  <c r="AS79" i="2"/>
  <c r="AX79" i="2"/>
  <c r="AY79" i="2"/>
  <c r="I80" i="2"/>
  <c r="AK80" i="2"/>
  <c r="AL80" i="2"/>
  <c r="AM80" i="2"/>
  <c r="AN80" i="2"/>
  <c r="AQ80" i="2"/>
  <c r="AR80" i="2"/>
  <c r="AS80" i="2"/>
  <c r="AT80" i="2"/>
  <c r="AW80" i="2"/>
  <c r="AX80" i="2"/>
  <c r="AY80" i="2"/>
  <c r="I81" i="2"/>
  <c r="U81" i="2"/>
  <c r="AK81" i="2" s="1"/>
  <c r="X81" i="2"/>
  <c r="AN81" i="2" s="1"/>
  <c r="AD81" i="2"/>
  <c r="AT81" i="2" s="1"/>
  <c r="AL81" i="2"/>
  <c r="AM81" i="2"/>
  <c r="AQ81" i="2"/>
  <c r="AR81" i="2"/>
  <c r="AS81" i="2"/>
  <c r="AW81" i="2"/>
  <c r="AX81" i="2"/>
  <c r="AY81" i="2"/>
  <c r="AK82" i="2"/>
  <c r="AL82" i="2"/>
  <c r="AM82" i="2"/>
  <c r="AN82" i="2"/>
  <c r="AQ82" i="2"/>
  <c r="AR82" i="2"/>
  <c r="AS82" i="2"/>
  <c r="AT82" i="2"/>
  <c r="AW82" i="2"/>
  <c r="AX82" i="2"/>
  <c r="AY82" i="2"/>
  <c r="U83" i="2"/>
  <c r="AK83" i="2" s="1"/>
  <c r="X83" i="2"/>
  <c r="AN83" i="2" s="1"/>
  <c r="AD83" i="2"/>
  <c r="AT83" i="2" s="1"/>
  <c r="AL83" i="2"/>
  <c r="AM83" i="2"/>
  <c r="AQ83" i="2"/>
  <c r="AR83" i="2"/>
  <c r="AS83" i="2"/>
  <c r="AW83" i="2"/>
  <c r="AX83" i="2"/>
  <c r="AY83" i="2"/>
  <c r="AK84" i="2"/>
  <c r="AL84" i="2"/>
  <c r="AM84" i="2"/>
  <c r="AN84" i="2"/>
  <c r="AQ84" i="2"/>
  <c r="AR84" i="2"/>
  <c r="AS84" i="2"/>
  <c r="AT84" i="2"/>
  <c r="AW84" i="2"/>
  <c r="AX84" i="2"/>
  <c r="AY84" i="2"/>
  <c r="U85" i="2"/>
  <c r="AK85" i="2" s="1"/>
  <c r="X85" i="2"/>
  <c r="AN85" i="2" s="1"/>
  <c r="AD85" i="2"/>
  <c r="AT85" i="2" s="1"/>
  <c r="AL85" i="2"/>
  <c r="AM85" i="2"/>
  <c r="AQ85" i="2"/>
  <c r="AR85" i="2"/>
  <c r="AS85" i="2"/>
  <c r="AW85" i="2"/>
  <c r="AX85" i="2"/>
  <c r="AY85" i="2"/>
  <c r="AK86" i="2"/>
  <c r="AL86" i="2"/>
  <c r="AM86" i="2"/>
  <c r="AN86" i="2"/>
  <c r="AQ86" i="2"/>
  <c r="AR86" i="2"/>
  <c r="AS86" i="2"/>
  <c r="AT86" i="2"/>
  <c r="AW86" i="2"/>
  <c r="AX86" i="2"/>
  <c r="AY86" i="2"/>
  <c r="U87" i="2"/>
  <c r="AK87" i="2" s="1"/>
  <c r="X87" i="2"/>
  <c r="AD87" i="2"/>
  <c r="AT87" i="2" s="1"/>
  <c r="AL87" i="2"/>
  <c r="AM87" i="2"/>
  <c r="AQ87" i="2"/>
  <c r="AR87" i="2"/>
  <c r="AS87" i="2"/>
  <c r="AW87" i="2"/>
  <c r="AX87" i="2"/>
  <c r="AY87" i="2"/>
  <c r="AK88" i="2"/>
  <c r="AL88" i="2"/>
  <c r="AM88" i="2"/>
  <c r="AQ88" i="2"/>
  <c r="AR88" i="2"/>
  <c r="AS88" i="2"/>
  <c r="AT88" i="2"/>
  <c r="AW88" i="2"/>
  <c r="AX88" i="2"/>
  <c r="AY88" i="2"/>
  <c r="U89" i="2"/>
  <c r="AK89" i="2" s="1"/>
  <c r="AD89" i="2"/>
  <c r="AT89" i="2" s="1"/>
  <c r="AL89" i="2"/>
  <c r="AM89" i="2"/>
  <c r="AQ89" i="2"/>
  <c r="AR89" i="2"/>
  <c r="AS89" i="2"/>
  <c r="AW89" i="2"/>
  <c r="AX89" i="2"/>
  <c r="AY89" i="2"/>
  <c r="AK90" i="2"/>
  <c r="AL90" i="2"/>
  <c r="AM90" i="2"/>
  <c r="AQ90" i="2"/>
  <c r="AR90" i="2"/>
  <c r="AS90" i="2"/>
  <c r="AT90" i="2"/>
  <c r="AW90" i="2"/>
  <c r="AX90" i="2"/>
  <c r="AY90" i="2"/>
  <c r="AD91" i="2"/>
  <c r="AT91" i="2" s="1"/>
  <c r="AK91" i="2"/>
  <c r="AL91" i="2"/>
  <c r="AM91" i="2"/>
  <c r="AQ91" i="2"/>
  <c r="AR91" i="2"/>
  <c r="AS91" i="2"/>
  <c r="AW91" i="2"/>
  <c r="AX91" i="2"/>
  <c r="AY91" i="2"/>
  <c r="AD92" i="2"/>
  <c r="AT92" i="2" s="1"/>
  <c r="AK92" i="2"/>
  <c r="AL92" i="2"/>
  <c r="AM92" i="2"/>
  <c r="AQ92" i="2"/>
  <c r="AR92" i="2"/>
  <c r="AS92" i="2"/>
  <c r="AW92" i="2"/>
  <c r="AX92" i="2"/>
  <c r="AY92" i="2"/>
  <c r="AK93" i="2"/>
  <c r="AL93" i="2"/>
  <c r="AM93" i="2"/>
  <c r="AQ93" i="2"/>
  <c r="AR93" i="2"/>
  <c r="AS93" i="2"/>
  <c r="AW93" i="2"/>
  <c r="AX93" i="2"/>
  <c r="AY93" i="2"/>
  <c r="AK94" i="2"/>
  <c r="AL94" i="2"/>
  <c r="AM94" i="2"/>
  <c r="AQ94" i="2"/>
  <c r="AR94" i="2"/>
  <c r="AS94" i="2"/>
  <c r="AW94" i="2"/>
  <c r="AX94" i="2"/>
  <c r="AY94" i="2"/>
  <c r="AK95" i="2"/>
  <c r="AL95" i="2"/>
  <c r="AM95" i="2"/>
  <c r="AQ95" i="2"/>
  <c r="AR95" i="2"/>
  <c r="AS95" i="2"/>
  <c r="AW95" i="2"/>
  <c r="AX95" i="2"/>
  <c r="AY95" i="2"/>
  <c r="AK96" i="2"/>
  <c r="AL96" i="2"/>
  <c r="AM96" i="2"/>
  <c r="AQ96" i="2"/>
  <c r="AR96" i="2"/>
  <c r="AS96" i="2"/>
  <c r="AW96" i="2"/>
  <c r="AX96" i="2"/>
  <c r="AY96" i="2"/>
  <c r="AK97" i="2"/>
  <c r="AL97" i="2"/>
  <c r="AM97" i="2"/>
  <c r="AQ97" i="2"/>
  <c r="AR97" i="2"/>
  <c r="AS97" i="2"/>
  <c r="AW97" i="2"/>
  <c r="AX97" i="2"/>
  <c r="AY97" i="2"/>
  <c r="AK98" i="2"/>
  <c r="AL98" i="2"/>
  <c r="AM98" i="2"/>
  <c r="AQ98" i="2"/>
  <c r="AR98" i="2"/>
  <c r="AS98" i="2"/>
  <c r="AW98" i="2"/>
  <c r="AX98" i="2"/>
  <c r="AY98" i="2"/>
  <c r="AK99" i="2"/>
  <c r="AL99" i="2"/>
  <c r="AM99" i="2"/>
  <c r="AQ99" i="2"/>
  <c r="AR99" i="2"/>
  <c r="AS99" i="2"/>
  <c r="AW99" i="2"/>
  <c r="AX99" i="2"/>
  <c r="AY99" i="2"/>
  <c r="I100" i="2"/>
  <c r="AK100" i="2"/>
  <c r="AL100" i="2"/>
  <c r="AM100" i="2"/>
  <c r="AQ100" i="2"/>
  <c r="AR100" i="2"/>
  <c r="AS100" i="2"/>
  <c r="AW100" i="2"/>
  <c r="AX100" i="2"/>
  <c r="AY100" i="2"/>
  <c r="AK101" i="2"/>
  <c r="AL101" i="2"/>
  <c r="AM101" i="2"/>
  <c r="AQ101" i="2"/>
  <c r="AR101" i="2"/>
  <c r="AS101" i="2"/>
  <c r="AW101" i="2"/>
  <c r="AX101" i="2"/>
  <c r="AY101" i="2"/>
  <c r="AK102" i="2"/>
  <c r="AL102" i="2"/>
  <c r="AM102" i="2"/>
  <c r="AQ102" i="2"/>
  <c r="AR102" i="2"/>
  <c r="AS102" i="2"/>
  <c r="AW102" i="2"/>
  <c r="AX102" i="2"/>
  <c r="AY102" i="2"/>
  <c r="I23" i="2"/>
  <c r="Q19" i="2"/>
  <c r="Q10" i="2"/>
  <c r="Q24" i="2"/>
  <c r="Q5" i="2"/>
  <c r="Q53" i="2"/>
  <c r="Q47" i="2"/>
  <c r="I10" i="2" l="1"/>
  <c r="I18" i="2"/>
  <c r="AH20" i="3"/>
  <c r="AI15" i="3"/>
  <c r="I32" i="2"/>
  <c r="I87" i="2"/>
  <c r="I86" i="2"/>
  <c r="I85" i="2"/>
  <c r="I84" i="2"/>
  <c r="AE28" i="2"/>
  <c r="AU28" i="2" s="1"/>
  <c r="I98" i="2"/>
  <c r="I91" i="2"/>
  <c r="I14" i="2"/>
  <c r="I89" i="2"/>
  <c r="AH28" i="3"/>
  <c r="Q66" i="2"/>
  <c r="Q68" i="2"/>
  <c r="AF16" i="2"/>
  <c r="AV16" i="2" s="1"/>
  <c r="I7" i="2"/>
  <c r="I44" i="2"/>
  <c r="I94" i="2"/>
  <c r="AT59" i="2"/>
  <c r="I59" i="2"/>
  <c r="I58" i="2"/>
  <c r="Q17" i="2"/>
  <c r="Q71" i="2"/>
  <c r="Q73" i="2"/>
  <c r="I22" i="2"/>
  <c r="I24" i="2"/>
  <c r="I96" i="2"/>
  <c r="I35" i="2"/>
  <c r="I29" i="2"/>
  <c r="I6" i="2"/>
  <c r="I8" i="2"/>
  <c r="I15" i="2"/>
  <c r="Q28" i="2"/>
  <c r="Q54" i="2"/>
  <c r="Q93" i="2"/>
  <c r="Q26" i="2"/>
  <c r="Q6" i="2"/>
  <c r="I34" i="2"/>
  <c r="I5" i="2"/>
  <c r="I28" i="2"/>
  <c r="I9" i="2"/>
  <c r="I4" i="2"/>
  <c r="I20" i="2"/>
  <c r="I38" i="2"/>
  <c r="I25" i="2"/>
  <c r="I99" i="2"/>
  <c r="I97" i="2"/>
  <c r="I95" i="2"/>
  <c r="I93" i="2"/>
  <c r="I67" i="2"/>
  <c r="I66" i="2"/>
  <c r="I13" i="2"/>
  <c r="I11" i="2"/>
  <c r="I21" i="2"/>
  <c r="I17" i="2"/>
  <c r="I41" i="2"/>
  <c r="I101" i="2"/>
  <c r="I92" i="2"/>
  <c r="AI12" i="3"/>
  <c r="Q32" i="2"/>
  <c r="Q55" i="2"/>
  <c r="Q30" i="2"/>
  <c r="Q11" i="2"/>
  <c r="I16" i="2"/>
  <c r="I33" i="2"/>
  <c r="I27" i="2"/>
  <c r="I12" i="2"/>
  <c r="I31" i="2"/>
  <c r="I19" i="2"/>
  <c r="I36" i="2"/>
  <c r="I39" i="2"/>
  <c r="I102" i="2"/>
  <c r="I90" i="2"/>
  <c r="I88" i="2"/>
  <c r="I75" i="2"/>
  <c r="I74" i="2"/>
  <c r="I73" i="2"/>
  <c r="I72" i="2"/>
  <c r="I65" i="2"/>
  <c r="I64" i="2"/>
  <c r="I51" i="2"/>
  <c r="I50" i="2"/>
  <c r="AI26" i="3"/>
  <c r="AI20" i="3"/>
  <c r="AF40" i="2"/>
  <c r="AV40" i="2" s="1"/>
  <c r="AI27" i="3"/>
  <c r="AH13" i="3"/>
  <c r="AE27" i="2"/>
  <c r="Y34" i="2"/>
  <c r="I30" i="2"/>
  <c r="BE34" i="2"/>
  <c r="BE36" i="2" s="1"/>
  <c r="I45" i="2"/>
  <c r="I40" i="2"/>
  <c r="I26" i="2"/>
  <c r="AF15" i="2"/>
  <c r="AD93" i="2"/>
  <c r="AT93" i="2" s="1"/>
  <c r="I77" i="2"/>
  <c r="I76" i="2"/>
  <c r="I71" i="2"/>
  <c r="I70" i="2"/>
  <c r="I63" i="2"/>
  <c r="I62" i="2"/>
  <c r="I57" i="2"/>
  <c r="Y56" i="2"/>
  <c r="I53" i="2"/>
  <c r="I52" i="2"/>
  <c r="I49" i="2"/>
  <c r="I48" i="2"/>
  <c r="I47" i="2"/>
  <c r="I46" i="2"/>
  <c r="I83" i="2"/>
  <c r="I82" i="2"/>
  <c r="I79" i="2"/>
  <c r="I78" i="2"/>
  <c r="I69" i="2"/>
  <c r="I68" i="2"/>
  <c r="I61" i="2"/>
  <c r="I60" i="2"/>
  <c r="I56" i="2"/>
  <c r="I55" i="2"/>
  <c r="I54" i="2"/>
  <c r="I43" i="2"/>
  <c r="I42" i="2"/>
  <c r="H16" i="3"/>
  <c r="W16" i="3" s="1"/>
  <c r="Z16" i="3" s="1"/>
  <c r="AH30" i="3"/>
  <c r="AI30" i="3"/>
  <c r="AI25" i="3"/>
  <c r="AH25" i="3"/>
  <c r="Z18" i="2"/>
  <c r="AP19" i="2"/>
  <c r="Z38" i="2"/>
  <c r="AP37" i="2"/>
  <c r="AN87" i="2"/>
  <c r="X88" i="2"/>
  <c r="AD57" i="2"/>
  <c r="AT58" i="2"/>
  <c r="AF41" i="2"/>
  <c r="Q8" i="2"/>
  <c r="Q77" i="2"/>
  <c r="Q92" i="2"/>
  <c r="Q85" i="2"/>
  <c r="Q86" i="2"/>
  <c r="Q37" i="2"/>
  <c r="Q58" i="2"/>
  <c r="Q9" i="2"/>
  <c r="Q7" i="2"/>
  <c r="AU59" i="2"/>
  <c r="AE60" i="2"/>
  <c r="X53" i="2"/>
  <c r="AN54" i="2"/>
  <c r="BE25" i="2"/>
  <c r="BE26" i="2" s="1"/>
  <c r="AN55" i="2"/>
  <c r="AI16" i="3"/>
  <c r="AH16" i="3"/>
  <c r="AI18" i="3"/>
  <c r="AH17" i="3"/>
  <c r="I23" i="3"/>
  <c r="X23" i="3" s="1"/>
  <c r="AA23" i="3" s="1"/>
  <c r="M23" i="3" s="1"/>
  <c r="I30" i="3"/>
  <c r="X30" i="3" s="1"/>
  <c r="AA30" i="3" s="1"/>
  <c r="J12" i="3"/>
  <c r="Y12" i="3" s="1"/>
  <c r="AB12" i="3" s="1"/>
  <c r="H20" i="3"/>
  <c r="I20" i="3"/>
  <c r="X20" i="3" s="1"/>
  <c r="AA20" i="3" s="1"/>
  <c r="H13" i="3"/>
  <c r="W13" i="3" s="1"/>
  <c r="Z13" i="3" s="1"/>
  <c r="J16" i="3"/>
  <c r="Y16" i="3" s="1"/>
  <c r="AB16" i="3" s="1"/>
  <c r="J30" i="3"/>
  <c r="Y30" i="3" s="1"/>
  <c r="AB30" i="3" s="1"/>
  <c r="G53" i="3"/>
  <c r="H55" i="3"/>
  <c r="J25" i="3"/>
  <c r="Y25" i="3" s="1"/>
  <c r="AB25" i="3" s="1"/>
  <c r="I22" i="3"/>
  <c r="X22" i="3" s="1"/>
  <c r="AA22" i="3" s="1"/>
  <c r="M22" i="3" s="1"/>
  <c r="J22" i="3"/>
  <c r="Y22" i="3" s="1"/>
  <c r="AB22" i="3" s="1"/>
  <c r="I26" i="3"/>
  <c r="X26" i="3" s="1"/>
  <c r="AA26" i="3" s="1"/>
  <c r="I15" i="3"/>
  <c r="X15" i="3" s="1"/>
  <c r="AA15" i="3" s="1"/>
  <c r="M15" i="3" s="1"/>
  <c r="H15" i="3"/>
  <c r="I27" i="3"/>
  <c r="X27" i="3" s="1"/>
  <c r="AA27" i="3" s="1"/>
  <c r="M27" i="3" s="1"/>
  <c r="H26" i="3"/>
  <c r="W26" i="3" s="1"/>
  <c r="Z26" i="3" s="1"/>
  <c r="H53" i="3"/>
  <c r="H18" i="3"/>
  <c r="W18" i="3" s="1"/>
  <c r="Z18" i="3" s="1"/>
  <c r="I55" i="3"/>
  <c r="J27" i="3"/>
  <c r="Y27" i="3" s="1"/>
  <c r="AB27" i="3" s="1"/>
  <c r="J20" i="3"/>
  <c r="Y20" i="3" s="1"/>
  <c r="AB20" i="3" s="1"/>
  <c r="I28" i="3"/>
  <c r="X28" i="3" s="1"/>
  <c r="AA28" i="3" s="1"/>
  <c r="M28" i="3" s="1"/>
  <c r="H12" i="3"/>
  <c r="W12" i="3" s="1"/>
  <c r="Z12" i="3" s="1"/>
  <c r="I53" i="3"/>
  <c r="H25" i="3"/>
  <c r="I18" i="3"/>
  <c r="X18" i="3" s="1"/>
  <c r="AA18" i="3" s="1"/>
  <c r="M18" i="3" s="1"/>
  <c r="J15" i="3"/>
  <c r="Y15" i="3" s="1"/>
  <c r="AB15" i="3" s="1"/>
  <c r="J56" i="3"/>
  <c r="J26" i="3"/>
  <c r="Y26" i="3" s="1"/>
  <c r="AB26" i="3" s="1"/>
  <c r="I25" i="3"/>
  <c r="X25" i="3" s="1"/>
  <c r="AA25" i="3" s="1"/>
  <c r="I12" i="3"/>
  <c r="H30" i="3"/>
  <c r="W30" i="3" s="1"/>
  <c r="Z30" i="3" s="1"/>
  <c r="J58" i="3"/>
  <c r="I13" i="3"/>
  <c r="X13" i="3" s="1"/>
  <c r="AA13" i="3" s="1"/>
  <c r="M13" i="3" s="1"/>
  <c r="H17" i="3"/>
  <c r="W17" i="3" s="1"/>
  <c r="Z17" i="3" s="1"/>
  <c r="H23" i="3"/>
  <c r="W23" i="3" s="1"/>
  <c r="Z23" i="3" s="1"/>
  <c r="J17" i="3"/>
  <c r="Y17" i="3" s="1"/>
  <c r="AB17" i="3" s="1"/>
  <c r="H22" i="3"/>
  <c r="H28" i="3"/>
  <c r="W28" i="3" s="1"/>
  <c r="Z28" i="3" s="1"/>
  <c r="J18" i="3"/>
  <c r="J57" i="3"/>
  <c r="J13" i="3"/>
  <c r="Y13" i="3" s="1"/>
  <c r="AB13" i="3" s="1"/>
  <c r="I17" i="3"/>
  <c r="I16" i="3"/>
  <c r="G55" i="3"/>
  <c r="J23" i="3"/>
  <c r="H27" i="3"/>
  <c r="J28" i="3"/>
  <c r="Q70" i="2"/>
  <c r="AH22" i="3"/>
  <c r="Q14" i="2"/>
  <c r="Q102" i="2"/>
  <c r="Q99" i="2"/>
  <c r="Q88" i="2"/>
  <c r="Q87" i="2"/>
  <c r="Q75" i="2"/>
  <c r="Q64" i="2"/>
  <c r="Q48" i="2"/>
  <c r="AI28" i="3"/>
  <c r="AI17" i="3"/>
  <c r="AH15" i="3"/>
  <c r="Q34" i="2"/>
  <c r="Q27" i="2"/>
  <c r="Q90" i="2"/>
  <c r="Q89" i="2"/>
  <c r="Q84" i="2"/>
  <c r="Q83" i="2"/>
  <c r="Q80" i="2"/>
  <c r="AI13" i="3"/>
  <c r="Q98" i="2"/>
  <c r="Q61" i="2"/>
  <c r="Q56" i="2"/>
  <c r="AH27" i="3"/>
  <c r="AI23" i="3"/>
  <c r="Q4" i="2"/>
  <c r="Q94" i="2"/>
  <c r="Q91" i="2"/>
  <c r="Q51" i="2"/>
  <c r="Q35" i="2"/>
  <c r="Q15" i="2"/>
  <c r="AH26" i="3"/>
  <c r="AH23" i="3"/>
  <c r="Q76" i="2"/>
  <c r="Q67" i="2"/>
  <c r="Q44" i="2"/>
  <c r="Q21" i="2"/>
  <c r="AI22" i="3"/>
  <c r="AH18" i="3"/>
  <c r="AH12" i="3"/>
  <c r="BE5" i="2"/>
  <c r="BE6" i="2" s="1"/>
  <c r="BE7" i="2" s="1"/>
  <c r="Q95" i="2"/>
  <c r="Q74" i="2"/>
  <c r="Q62" i="2"/>
  <c r="Q57" i="2"/>
  <c r="Q42" i="2"/>
  <c r="Q33" i="2"/>
  <c r="Q22" i="2"/>
  <c r="Q20" i="2"/>
  <c r="Q12" i="2"/>
  <c r="Q97" i="2"/>
  <c r="Q78" i="2"/>
  <c r="Q65" i="2"/>
  <c r="Q49" i="2"/>
  <c r="Q45" i="2"/>
  <c r="Q36" i="2"/>
  <c r="Q63" i="2"/>
  <c r="Q59" i="2"/>
  <c r="Q43" i="2"/>
  <c r="Q38" i="2"/>
  <c r="Q25" i="2"/>
  <c r="Q23" i="2"/>
  <c r="Q18" i="2"/>
  <c r="Q96" i="2"/>
  <c r="Q79" i="2"/>
  <c r="Q60" i="2"/>
  <c r="Q52" i="2"/>
  <c r="Q41" i="2"/>
  <c r="Q40" i="2"/>
  <c r="Q31" i="2"/>
  <c r="Q16" i="2"/>
  <c r="Q101" i="2"/>
  <c r="Q82" i="2"/>
  <c r="Q81" i="2"/>
  <c r="Q72" i="2"/>
  <c r="Q69" i="2"/>
  <c r="Q50" i="2"/>
  <c r="Q46" i="2"/>
  <c r="Q39" i="2"/>
  <c r="Q29" i="2"/>
  <c r="Q13" i="2"/>
  <c r="W15" i="3"/>
  <c r="Z15" i="3" s="1"/>
  <c r="W20" i="3"/>
  <c r="Z20" i="3" s="1"/>
  <c r="N28" i="3" l="1"/>
  <c r="K20" i="3"/>
  <c r="N23" i="3"/>
  <c r="AD94" i="2"/>
  <c r="AD95" i="2" s="1"/>
  <c r="AC21" i="3"/>
  <c r="AE21" i="3"/>
  <c r="AF20" i="3"/>
  <c r="AG22" i="3"/>
  <c r="J21" i="3"/>
  <c r="H21" i="3"/>
  <c r="W21" i="3" s="1"/>
  <c r="Z21" i="3" s="1"/>
  <c r="H11" i="3"/>
  <c r="I11" i="3"/>
  <c r="I21" i="3"/>
  <c r="AC11" i="3"/>
  <c r="AD11" i="3"/>
  <c r="J11" i="3"/>
  <c r="O22" i="3"/>
  <c r="AU27" i="2"/>
  <c r="AE26" i="2"/>
  <c r="AD21" i="3"/>
  <c r="AO34" i="2"/>
  <c r="Y33" i="2"/>
  <c r="O20" i="3"/>
  <c r="AG20" i="3"/>
  <c r="M20" i="3"/>
  <c r="R20" i="3" s="1"/>
  <c r="N20" i="3"/>
  <c r="L20" i="3"/>
  <c r="N18" i="3"/>
  <c r="N15" i="3"/>
  <c r="K12" i="3"/>
  <c r="O25" i="3"/>
  <c r="AE11" i="3"/>
  <c r="Y57" i="2"/>
  <c r="AO56" i="2"/>
  <c r="AV15" i="2"/>
  <c r="AF14" i="2"/>
  <c r="BE35" i="2"/>
  <c r="AD56" i="2"/>
  <c r="AT57" i="2"/>
  <c r="AP38" i="2"/>
  <c r="Z39" i="2"/>
  <c r="AN53" i="2"/>
  <c r="X52" i="2"/>
  <c r="BE27" i="2"/>
  <c r="BA6" i="2" s="1"/>
  <c r="N26" i="3"/>
  <c r="AE61" i="2"/>
  <c r="AU60" i="2"/>
  <c r="AF42" i="2"/>
  <c r="AV41" i="2"/>
  <c r="AT94" i="2"/>
  <c r="BA17" i="2"/>
  <c r="BA85" i="2"/>
  <c r="X89" i="2"/>
  <c r="AN88" i="2"/>
  <c r="Z17" i="2"/>
  <c r="AP18" i="2"/>
  <c r="AF16" i="3"/>
  <c r="M26" i="3"/>
  <c r="L26" i="3"/>
  <c r="AF26" i="3"/>
  <c r="O26" i="3"/>
  <c r="O15" i="3"/>
  <c r="L15" i="3"/>
  <c r="K15" i="3"/>
  <c r="W39" i="3"/>
  <c r="I39" i="3" s="1"/>
  <c r="L39" i="3" s="1"/>
  <c r="N30" i="3"/>
  <c r="M30" i="3"/>
  <c r="K26" i="3"/>
  <c r="BE8" i="2"/>
  <c r="L58" i="2" s="1"/>
  <c r="AG26" i="3"/>
  <c r="O27" i="3"/>
  <c r="M25" i="3"/>
  <c r="AF15" i="3"/>
  <c r="R15" i="3" s="1"/>
  <c r="Y39" i="3"/>
  <c r="K39" i="3" s="1"/>
  <c r="N39" i="3" s="1"/>
  <c r="AG15" i="3"/>
  <c r="S15" i="3" s="1"/>
  <c r="AF18" i="3"/>
  <c r="R18" i="3" s="1"/>
  <c r="X39" i="3"/>
  <c r="J39" i="3" s="1"/>
  <c r="M39" i="3" s="1"/>
  <c r="N13" i="3"/>
  <c r="O13" i="3"/>
  <c r="L25" i="3"/>
  <c r="AF22" i="3"/>
  <c r="R22" i="3" s="1"/>
  <c r="K25" i="3"/>
  <c r="L22" i="3"/>
  <c r="AF12" i="3"/>
  <c r="AF30" i="3"/>
  <c r="AF25" i="3"/>
  <c r="Y44" i="3"/>
  <c r="K44" i="3" s="1"/>
  <c r="N44" i="3" s="1"/>
  <c r="W44" i="3"/>
  <c r="I44" i="3" s="1"/>
  <c r="L44" i="3" s="1"/>
  <c r="AG13" i="3"/>
  <c r="S13" i="3" s="1"/>
  <c r="W25" i="3"/>
  <c r="Z25" i="3" s="1"/>
  <c r="N25" i="3" s="1"/>
  <c r="AG12" i="3"/>
  <c r="AG25" i="3"/>
  <c r="O30" i="3"/>
  <c r="L12" i="3"/>
  <c r="L30" i="3"/>
  <c r="X12" i="3"/>
  <c r="AA12" i="3" s="1"/>
  <c r="N12" i="3" s="1"/>
  <c r="K30" i="3"/>
  <c r="AG30" i="3"/>
  <c r="L17" i="3"/>
  <c r="L13" i="3"/>
  <c r="AF13" i="3"/>
  <c r="R13" i="3" s="1"/>
  <c r="K13" i="3"/>
  <c r="AG18" i="3"/>
  <c r="S18" i="3" s="1"/>
  <c r="Y18" i="3"/>
  <c r="AB18" i="3" s="1"/>
  <c r="O18" i="3" s="1"/>
  <c r="K18" i="3"/>
  <c r="W22" i="3"/>
  <c r="Z22" i="3" s="1"/>
  <c r="N22" i="3" s="1"/>
  <c r="K22" i="3"/>
  <c r="L18" i="3"/>
  <c r="X44" i="3"/>
  <c r="J44" i="3" s="1"/>
  <c r="M44" i="3" s="1"/>
  <c r="AG17" i="3"/>
  <c r="K17" i="3"/>
  <c r="AF17" i="3"/>
  <c r="X17" i="3"/>
  <c r="AA17" i="3" s="1"/>
  <c r="W27" i="3"/>
  <c r="Z27" i="3" s="1"/>
  <c r="N27" i="3" s="1"/>
  <c r="L27" i="3"/>
  <c r="AF27" i="3"/>
  <c r="R27" i="3" s="1"/>
  <c r="AG27" i="3"/>
  <c r="S27" i="3" s="1"/>
  <c r="L28" i="3"/>
  <c r="AG28" i="3"/>
  <c r="S28" i="3" s="1"/>
  <c r="Y28" i="3"/>
  <c r="AB28" i="3" s="1"/>
  <c r="O28" i="3" s="1"/>
  <c r="P28" i="3" s="1"/>
  <c r="K28" i="3"/>
  <c r="AF28" i="3"/>
  <c r="R28" i="3" s="1"/>
  <c r="Y23" i="3"/>
  <c r="AB23" i="3" s="1"/>
  <c r="O23" i="3" s="1"/>
  <c r="Q23" i="3" s="1"/>
  <c r="AG23" i="3"/>
  <c r="S23" i="3" s="1"/>
  <c r="L23" i="3"/>
  <c r="K23" i="3"/>
  <c r="AF23" i="3"/>
  <c r="R23" i="3" s="1"/>
  <c r="K27" i="3"/>
  <c r="X16" i="3"/>
  <c r="AA16" i="3" s="1"/>
  <c r="O16" i="3" s="1"/>
  <c r="L16" i="3"/>
  <c r="AG16" i="3"/>
  <c r="K16" i="3"/>
  <c r="I19" i="3"/>
  <c r="J29" i="3"/>
  <c r="J19" i="3"/>
  <c r="H19" i="3"/>
  <c r="AD19" i="3"/>
  <c r="AD29" i="3"/>
  <c r="AE29" i="3"/>
  <c r="AE19" i="3"/>
  <c r="AC19" i="3"/>
  <c r="I29" i="3"/>
  <c r="L25" i="2"/>
  <c r="L39" i="2"/>
  <c r="AC29" i="3"/>
  <c r="H29" i="3"/>
  <c r="S22" i="3"/>
  <c r="L95" i="2" l="1"/>
  <c r="BA40" i="2"/>
  <c r="BA41" i="2"/>
  <c r="L101" i="2"/>
  <c r="L18" i="2"/>
  <c r="L99" i="2"/>
  <c r="L54" i="2"/>
  <c r="L28" i="2"/>
  <c r="AH21" i="3"/>
  <c r="L46" i="2"/>
  <c r="L72" i="2"/>
  <c r="L32" i="2"/>
  <c r="L90" i="2"/>
  <c r="BA63" i="2"/>
  <c r="K21" i="3"/>
  <c r="AF21" i="3"/>
  <c r="BA14" i="2"/>
  <c r="BA96" i="2"/>
  <c r="BA93" i="2"/>
  <c r="BA31" i="2"/>
  <c r="BA100" i="2"/>
  <c r="BA21" i="2"/>
  <c r="BA4" i="2"/>
  <c r="BA77" i="2"/>
  <c r="BA56" i="2"/>
  <c r="BA90" i="2"/>
  <c r="BA70" i="2"/>
  <c r="BA80" i="2"/>
  <c r="BA74" i="2"/>
  <c r="BA84" i="2"/>
  <c r="BA83" i="2"/>
  <c r="BA57" i="2"/>
  <c r="L79" i="2"/>
  <c r="L16" i="2"/>
  <c r="L78" i="2"/>
  <c r="L81" i="2"/>
  <c r="BA71" i="2"/>
  <c r="BA55" i="2"/>
  <c r="BA45" i="2"/>
  <c r="BA22" i="2"/>
  <c r="BA53" i="2"/>
  <c r="BA27" i="2"/>
  <c r="BA81" i="2"/>
  <c r="L8" i="2"/>
  <c r="L29" i="2"/>
  <c r="L7" i="2"/>
  <c r="L66" i="2"/>
  <c r="BA92" i="2"/>
  <c r="BA98" i="2"/>
  <c r="BA26" i="2"/>
  <c r="BA88" i="2"/>
  <c r="BA30" i="2"/>
  <c r="BA29" i="2"/>
  <c r="BA33" i="2"/>
  <c r="L21" i="3"/>
  <c r="AH29" i="3"/>
  <c r="L65" i="2"/>
  <c r="L82" i="2"/>
  <c r="L84" i="2"/>
  <c r="L38" i="2"/>
  <c r="BA54" i="2"/>
  <c r="BA16" i="2"/>
  <c r="BA5" i="2"/>
  <c r="BA101" i="2"/>
  <c r="BA79" i="2"/>
  <c r="BA9" i="2"/>
  <c r="BA44" i="2"/>
  <c r="W11" i="3"/>
  <c r="Z11" i="3" s="1"/>
  <c r="AG21" i="3"/>
  <c r="BA34" i="2"/>
  <c r="BA48" i="2"/>
  <c r="BA65" i="2"/>
  <c r="BA66" i="2"/>
  <c r="BA10" i="2"/>
  <c r="BA11" i="2"/>
  <c r="BA75" i="2"/>
  <c r="BA47" i="2"/>
  <c r="BA19" i="2"/>
  <c r="BA18" i="2"/>
  <c r="BA35" i="2"/>
  <c r="BA86" i="2"/>
  <c r="BA50" i="2"/>
  <c r="X11" i="3"/>
  <c r="AA11" i="3" s="1"/>
  <c r="M11" i="3" s="1"/>
  <c r="AI11" i="3"/>
  <c r="Y21" i="3"/>
  <c r="AB21" i="3" s="1"/>
  <c r="L88" i="2"/>
  <c r="L67" i="2"/>
  <c r="L52" i="2"/>
  <c r="L21" i="2"/>
  <c r="L80" i="2"/>
  <c r="L60" i="2"/>
  <c r="L5" i="2"/>
  <c r="L14" i="2"/>
  <c r="L30" i="2"/>
  <c r="L47" i="2"/>
  <c r="L4" i="2"/>
  <c r="L75" i="2"/>
  <c r="L57" i="2"/>
  <c r="L34" i="2"/>
  <c r="L70" i="2"/>
  <c r="L56" i="2"/>
  <c r="L22" i="2"/>
  <c r="L97" i="2"/>
  <c r="L12" i="2"/>
  <c r="L76" i="2"/>
  <c r="BA15" i="2"/>
  <c r="BA94" i="2"/>
  <c r="BA58" i="2"/>
  <c r="BA49" i="2"/>
  <c r="BA38" i="2"/>
  <c r="BA7" i="2"/>
  <c r="BA78" i="2"/>
  <c r="BA46" i="2"/>
  <c r="BA51" i="2"/>
  <c r="BA13" i="2"/>
  <c r="BA82" i="2"/>
  <c r="BA89" i="2"/>
  <c r="BA60" i="2"/>
  <c r="BA64" i="2"/>
  <c r="BA28" i="2"/>
  <c r="K11" i="3"/>
  <c r="L23" i="2"/>
  <c r="L85" i="2"/>
  <c r="L44" i="2"/>
  <c r="L92" i="2"/>
  <c r="L53" i="2"/>
  <c r="L19" i="2"/>
  <c r="L17" i="2"/>
  <c r="L37" i="2"/>
  <c r="L9" i="2"/>
  <c r="L68" i="2"/>
  <c r="L96" i="2"/>
  <c r="L48" i="2"/>
  <c r="L49" i="2"/>
  <c r="L31" i="2"/>
  <c r="L15" i="2"/>
  <c r="L33" i="2"/>
  <c r="L69" i="2"/>
  <c r="L51" i="2"/>
  <c r="L89" i="2"/>
  <c r="L64" i="2"/>
  <c r="L45" i="2"/>
  <c r="L26" i="2"/>
  <c r="L102" i="2"/>
  <c r="L74" i="2"/>
  <c r="L10" i="2"/>
  <c r="L100" i="2"/>
  <c r="L62" i="2"/>
  <c r="L63" i="2"/>
  <c r="L50" i="2"/>
  <c r="L11" i="2"/>
  <c r="AG11" i="3"/>
  <c r="BA76" i="2"/>
  <c r="BA69" i="2"/>
  <c r="BA95" i="2"/>
  <c r="BA20" i="2"/>
  <c r="BA73" i="2"/>
  <c r="BA72" i="2"/>
  <c r="BA32" i="2"/>
  <c r="BA99" i="2"/>
  <c r="BA67" i="2"/>
  <c r="BA24" i="2"/>
  <c r="BA102" i="2"/>
  <c r="BA59" i="2"/>
  <c r="BA52" i="2"/>
  <c r="BA12" i="2"/>
  <c r="BA87" i="2"/>
  <c r="BA97" i="2"/>
  <c r="BA37" i="2"/>
  <c r="BA23" i="2"/>
  <c r="BA25" i="2"/>
  <c r="BA91" i="2"/>
  <c r="BA62" i="2"/>
  <c r="BA39" i="2"/>
  <c r="BA43" i="2"/>
  <c r="BA8" i="2"/>
  <c r="S20" i="3"/>
  <c r="L87" i="2"/>
  <c r="L61" i="2"/>
  <c r="L40" i="2"/>
  <c r="L35" i="2"/>
  <c r="L55" i="2"/>
  <c r="L36" i="2"/>
  <c r="L20" i="2"/>
  <c r="L24" i="2"/>
  <c r="L94" i="2"/>
  <c r="L42" i="2"/>
  <c r="L91" i="2"/>
  <c r="L27" i="2"/>
  <c r="L86" i="2"/>
  <c r="L43" i="2"/>
  <c r="L6" i="2"/>
  <c r="L83" i="2"/>
  <c r="L93" i="2"/>
  <c r="L59" i="2"/>
  <c r="L77" i="2"/>
  <c r="L71" i="2"/>
  <c r="L41" i="2"/>
  <c r="L13" i="2"/>
  <c r="L73" i="2"/>
  <c r="L98" i="2"/>
  <c r="L11" i="3"/>
  <c r="AF11" i="3"/>
  <c r="P20" i="3"/>
  <c r="P15" i="3"/>
  <c r="P18" i="3"/>
  <c r="Q15" i="3"/>
  <c r="Q20" i="3"/>
  <c r="Q22" i="3"/>
  <c r="BA61" i="2"/>
  <c r="BA68" i="2"/>
  <c r="BA42" i="2"/>
  <c r="BA36" i="2"/>
  <c r="AI21" i="3"/>
  <c r="AH11" i="3"/>
  <c r="X21" i="3"/>
  <c r="AA21" i="3" s="1"/>
  <c r="O21" i="3" s="1"/>
  <c r="Q26" i="3"/>
  <c r="Y32" i="2"/>
  <c r="AO33" i="2"/>
  <c r="AU26" i="2"/>
  <c r="AE25" i="2"/>
  <c r="P25" i="3"/>
  <c r="P30" i="3"/>
  <c r="S26" i="3"/>
  <c r="R26" i="3"/>
  <c r="R30" i="3"/>
  <c r="P26" i="3"/>
  <c r="Q30" i="3"/>
  <c r="S30" i="3"/>
  <c r="M12" i="3"/>
  <c r="R12" i="3" s="1"/>
  <c r="P22" i="3"/>
  <c r="AV14" i="2"/>
  <c r="AF13" i="2"/>
  <c r="Y58" i="2"/>
  <c r="AO57" i="2"/>
  <c r="BB23" i="2"/>
  <c r="BB11" i="2"/>
  <c r="BB32" i="2"/>
  <c r="BB22" i="2"/>
  <c r="BB15" i="2"/>
  <c r="BB30" i="2"/>
  <c r="BB55" i="2"/>
  <c r="BB24" i="2"/>
  <c r="BB54" i="2"/>
  <c r="BB42" i="2"/>
  <c r="BB64" i="2"/>
  <c r="BB49" i="2"/>
  <c r="BB47" i="2"/>
  <c r="BB61" i="2"/>
  <c r="BB45" i="2"/>
  <c r="BB71" i="2"/>
  <c r="BB88" i="2"/>
  <c r="BB66" i="2"/>
  <c r="BB93" i="2"/>
  <c r="BB78" i="2"/>
  <c r="BB85" i="2"/>
  <c r="BB98" i="2"/>
  <c r="BB91" i="2"/>
  <c r="BB74" i="2"/>
  <c r="BB62" i="2"/>
  <c r="BB92" i="2"/>
  <c r="BB97" i="2"/>
  <c r="BB86" i="2"/>
  <c r="BB95" i="2"/>
  <c r="BB87" i="2"/>
  <c r="BB13" i="2"/>
  <c r="BB16" i="2"/>
  <c r="BB52" i="2"/>
  <c r="BB25" i="2"/>
  <c r="BB96" i="2"/>
  <c r="BB101" i="2"/>
  <c r="BB77" i="2"/>
  <c r="BB5" i="2"/>
  <c r="BB26" i="2"/>
  <c r="BB4" i="2"/>
  <c r="BB33" i="2"/>
  <c r="BB36" i="2"/>
  <c r="BB57" i="2"/>
  <c r="BB56" i="2"/>
  <c r="BB38" i="2"/>
  <c r="BB69" i="2"/>
  <c r="BB51" i="2"/>
  <c r="BB79" i="2"/>
  <c r="BB50" i="2"/>
  <c r="BB48" i="2"/>
  <c r="BB46" i="2"/>
  <c r="BB72" i="2"/>
  <c r="BB83" i="2"/>
  <c r="BB89" i="2"/>
  <c r="BB67" i="2"/>
  <c r="BB6" i="2"/>
  <c r="BB27" i="2"/>
  <c r="BB34" i="2"/>
  <c r="BB58" i="2"/>
  <c r="BB43" i="2"/>
  <c r="BB80" i="2"/>
  <c r="BB17" i="2"/>
  <c r="BB59" i="2"/>
  <c r="BB84" i="2"/>
  <c r="BB90" i="2"/>
  <c r="BB99" i="2"/>
  <c r="BB35" i="2"/>
  <c r="BB70" i="2"/>
  <c r="BB7" i="2"/>
  <c r="BB65" i="2"/>
  <c r="BB102" i="2"/>
  <c r="BB18" i="2"/>
  <c r="BB14" i="2"/>
  <c r="BB53" i="2"/>
  <c r="BB28" i="2"/>
  <c r="BB82" i="2"/>
  <c r="BB76" i="2"/>
  <c r="BB9" i="2"/>
  <c r="BB21" i="2"/>
  <c r="BB100" i="2"/>
  <c r="BB19" i="2"/>
  <c r="BB68" i="2"/>
  <c r="BB20" i="2"/>
  <c r="BB37" i="2"/>
  <c r="BB94" i="2"/>
  <c r="BB12" i="2"/>
  <c r="BB73" i="2"/>
  <c r="BB31" i="2"/>
  <c r="BB44" i="2"/>
  <c r="BB63" i="2"/>
  <c r="BB39" i="2"/>
  <c r="BB81" i="2"/>
  <c r="BB75" i="2"/>
  <c r="BB41" i="2"/>
  <c r="BB60" i="2"/>
  <c r="BB40" i="2"/>
  <c r="BB8" i="2"/>
  <c r="BB29" i="2"/>
  <c r="BB10" i="2"/>
  <c r="Y11" i="3"/>
  <c r="AB11" i="3" s="1"/>
  <c r="O11" i="3" s="1"/>
  <c r="P23" i="3"/>
  <c r="P13" i="3"/>
  <c r="Q25" i="3"/>
  <c r="R25" i="3"/>
  <c r="S25" i="3"/>
  <c r="AP17" i="2"/>
  <c r="Z16" i="2"/>
  <c r="Z40" i="2"/>
  <c r="AP39" i="2"/>
  <c r="AV42" i="2"/>
  <c r="AF43" i="2"/>
  <c r="X51" i="2"/>
  <c r="AN52" i="2"/>
  <c r="AN89" i="2"/>
  <c r="X90" i="2"/>
  <c r="AT95" i="2"/>
  <c r="AD96" i="2"/>
  <c r="AE62" i="2"/>
  <c r="AU61" i="2"/>
  <c r="AD55" i="2"/>
  <c r="AT56" i="2"/>
  <c r="Q13" i="3"/>
  <c r="Q27" i="3"/>
  <c r="P27" i="3"/>
  <c r="Q28" i="3"/>
  <c r="Q18" i="3"/>
  <c r="O12" i="3"/>
  <c r="P12" i="3" s="1"/>
  <c r="U27" i="3"/>
  <c r="T27" i="3"/>
  <c r="N17" i="3"/>
  <c r="M17" i="3"/>
  <c r="O17" i="3"/>
  <c r="N16" i="3"/>
  <c r="M16" i="3"/>
  <c r="AI19" i="3"/>
  <c r="Y19" i="3"/>
  <c r="AB19" i="3" s="1"/>
  <c r="Y29" i="3"/>
  <c r="AB29" i="3" s="1"/>
  <c r="AI29" i="3"/>
  <c r="AF19" i="3"/>
  <c r="K19" i="3"/>
  <c r="W19" i="3"/>
  <c r="Z19" i="3" s="1"/>
  <c r="X29" i="3"/>
  <c r="AA29" i="3" s="1"/>
  <c r="L29" i="3"/>
  <c r="AG29" i="3"/>
  <c r="AH19" i="3"/>
  <c r="AG19" i="3"/>
  <c r="X19" i="3"/>
  <c r="AA19" i="3" s="1"/>
  <c r="K29" i="3"/>
  <c r="AF29" i="3"/>
  <c r="W29" i="3"/>
  <c r="Z29" i="3" s="1"/>
  <c r="L19" i="3"/>
  <c r="U18" i="3"/>
  <c r="T18" i="3"/>
  <c r="T22" i="3"/>
  <c r="U22" i="3"/>
  <c r="U20" i="3"/>
  <c r="T20" i="3"/>
  <c r="U28" i="3"/>
  <c r="T28" i="3"/>
  <c r="T13" i="3"/>
  <c r="U13" i="3"/>
  <c r="U23" i="3"/>
  <c r="T23" i="3"/>
  <c r="T15" i="3"/>
  <c r="U15" i="3"/>
  <c r="T26" i="3" l="1"/>
  <c r="R11" i="3"/>
  <c r="BI21" i="2"/>
  <c r="S11" i="3"/>
  <c r="H14" i="3"/>
  <c r="J14" i="3"/>
  <c r="AC24" i="3"/>
  <c r="BJ21" i="2"/>
  <c r="I14" i="3"/>
  <c r="N11" i="3"/>
  <c r="I24" i="3"/>
  <c r="J24" i="3"/>
  <c r="H24" i="3"/>
  <c r="W24" i="3" s="1"/>
  <c r="Z24" i="3" s="1"/>
  <c r="AD24" i="3"/>
  <c r="BH21" i="2"/>
  <c r="X42" i="3" s="1"/>
  <c r="J42" i="3" s="1"/>
  <c r="M42" i="3" s="1"/>
  <c r="U26" i="3"/>
  <c r="AC14" i="3"/>
  <c r="AE24" i="3"/>
  <c r="AD14" i="3"/>
  <c r="AE14" i="3"/>
  <c r="M21" i="3"/>
  <c r="R21" i="3" s="1"/>
  <c r="N21" i="3"/>
  <c r="P21" i="3" s="1"/>
  <c r="T30" i="3"/>
  <c r="T11" i="3"/>
  <c r="AU25" i="2"/>
  <c r="AE24" i="2"/>
  <c r="AO32" i="2"/>
  <c r="Y31" i="2"/>
  <c r="U11" i="3"/>
  <c r="U30" i="3"/>
  <c r="S12" i="3"/>
  <c r="U12" i="3" s="1"/>
  <c r="U25" i="3"/>
  <c r="T25" i="3"/>
  <c r="Q11" i="3"/>
  <c r="P11" i="3"/>
  <c r="BI22" i="2"/>
  <c r="BJ22" i="2"/>
  <c r="BH22" i="2"/>
  <c r="AV13" i="2"/>
  <c r="AF12" i="2"/>
  <c r="Q12" i="3"/>
  <c r="Y59" i="2"/>
  <c r="AO58" i="2"/>
  <c r="AE63" i="2"/>
  <c r="AU62" i="2"/>
  <c r="AT96" i="2"/>
  <c r="AD97" i="2"/>
  <c r="X50" i="2"/>
  <c r="AN51" i="2"/>
  <c r="AT55" i="2"/>
  <c r="AD54" i="2"/>
  <c r="X91" i="2"/>
  <c r="AN90" i="2"/>
  <c r="AF44" i="2"/>
  <c r="AV43" i="2"/>
  <c r="AP16" i="2"/>
  <c r="Z15" i="2"/>
  <c r="AP40" i="2"/>
  <c r="Z41" i="2"/>
  <c r="R17" i="3"/>
  <c r="S17" i="3"/>
  <c r="P17" i="3"/>
  <c r="Q17" i="3"/>
  <c r="S16" i="3"/>
  <c r="R16" i="3"/>
  <c r="P16" i="3"/>
  <c r="Q16" i="3"/>
  <c r="N29" i="3"/>
  <c r="M19" i="3"/>
  <c r="O19" i="3"/>
  <c r="M29" i="3"/>
  <c r="R29" i="3" s="1"/>
  <c r="O29" i="3"/>
  <c r="N19" i="3"/>
  <c r="X14" i="3"/>
  <c r="AA14" i="3" s="1"/>
  <c r="Y14" i="3" l="1"/>
  <c r="AB14" i="3" s="1"/>
  <c r="W14" i="3"/>
  <c r="Z14" i="3" s="1"/>
  <c r="X36" i="3"/>
  <c r="J36" i="3" s="1"/>
  <c r="M36" i="3" s="1"/>
  <c r="AF14" i="3"/>
  <c r="W42" i="3"/>
  <c r="I42" i="3" s="1"/>
  <c r="L42" i="3" s="1"/>
  <c r="Y46" i="3"/>
  <c r="K46" i="3" s="1"/>
  <c r="N46" i="3" s="1"/>
  <c r="AG14" i="3"/>
  <c r="K14" i="3"/>
  <c r="Y41" i="3"/>
  <c r="K41" i="3" s="1"/>
  <c r="N41" i="3" s="1"/>
  <c r="AG24" i="3"/>
  <c r="L14" i="3"/>
  <c r="Y40" i="3"/>
  <c r="K40" i="3" s="1"/>
  <c r="N40" i="3" s="1"/>
  <c r="L24" i="3"/>
  <c r="X40" i="3"/>
  <c r="J40" i="3" s="1"/>
  <c r="M40" i="3" s="1"/>
  <c r="Y43" i="3"/>
  <c r="K43" i="3" s="1"/>
  <c r="N43" i="3" s="1"/>
  <c r="Y42" i="3"/>
  <c r="K42" i="3" s="1"/>
  <c r="N42" i="3" s="1"/>
  <c r="X49" i="3"/>
  <c r="J49" i="3" s="1"/>
  <c r="M49" i="3" s="1"/>
  <c r="W37" i="3"/>
  <c r="I37" i="3" s="1"/>
  <c r="L37" i="3" s="1"/>
  <c r="Y36" i="3"/>
  <c r="K36" i="3" s="1"/>
  <c r="N36" i="3" s="1"/>
  <c r="X46" i="3"/>
  <c r="J46" i="3" s="1"/>
  <c r="M46" i="3" s="1"/>
  <c r="Y49" i="3"/>
  <c r="K49" i="3" s="1"/>
  <c r="N49" i="3" s="1"/>
  <c r="X43" i="3"/>
  <c r="J43" i="3" s="1"/>
  <c r="M43" i="3" s="1"/>
  <c r="Y37" i="3"/>
  <c r="K37" i="3" s="1"/>
  <c r="N37" i="3" s="1"/>
  <c r="W43" i="3"/>
  <c r="I43" i="3" s="1"/>
  <c r="L43" i="3" s="1"/>
  <c r="W49" i="3"/>
  <c r="I49" i="3" s="1"/>
  <c r="L49" i="3" s="1"/>
  <c r="W46" i="3"/>
  <c r="I46" i="3" s="1"/>
  <c r="L46" i="3" s="1"/>
  <c r="W36" i="3"/>
  <c r="I36" i="3" s="1"/>
  <c r="L36" i="3" s="1"/>
  <c r="W41" i="3"/>
  <c r="I41" i="3" s="1"/>
  <c r="L41" i="3" s="1"/>
  <c r="X37" i="3"/>
  <c r="J37" i="3" s="1"/>
  <c r="M37" i="3" s="1"/>
  <c r="W40" i="3"/>
  <c r="I40" i="3" s="1"/>
  <c r="L40" i="3" s="1"/>
  <c r="X41" i="3"/>
  <c r="J41" i="3" s="1"/>
  <c r="M41" i="3" s="1"/>
  <c r="AI24" i="3"/>
  <c r="AH14" i="3"/>
  <c r="K24" i="3"/>
  <c r="AI14" i="3"/>
  <c r="X24" i="3"/>
  <c r="AA24" i="3" s="1"/>
  <c r="M24" i="3" s="1"/>
  <c r="AF24" i="3"/>
  <c r="AH24" i="3"/>
  <c r="S21" i="3"/>
  <c r="U21" i="3" s="1"/>
  <c r="Q21" i="3"/>
  <c r="Y24" i="3"/>
  <c r="AB24" i="3" s="1"/>
  <c r="T12" i="3"/>
  <c r="AU24" i="2"/>
  <c r="AE23" i="2"/>
  <c r="AO31" i="2"/>
  <c r="Y30" i="2"/>
  <c r="AF11" i="2"/>
  <c r="AV12" i="2"/>
  <c r="AO59" i="2"/>
  <c r="Y60" i="2"/>
  <c r="Y48" i="3"/>
  <c r="K48" i="3" s="1"/>
  <c r="N48" i="3" s="1"/>
  <c r="X47" i="3"/>
  <c r="J47" i="3" s="1"/>
  <c r="M47" i="3" s="1"/>
  <c r="Y45" i="3"/>
  <c r="K45" i="3" s="1"/>
  <c r="N45" i="3" s="1"/>
  <c r="X38" i="3"/>
  <c r="J38" i="3" s="1"/>
  <c r="M38" i="3" s="1"/>
  <c r="X45" i="3"/>
  <c r="J45" i="3" s="1"/>
  <c r="M45" i="3" s="1"/>
  <c r="Y47" i="3"/>
  <c r="K47" i="3" s="1"/>
  <c r="N47" i="3" s="1"/>
  <c r="Y35" i="3"/>
  <c r="K35" i="3" s="1"/>
  <c r="N35" i="3" s="1"/>
  <c r="W48" i="3"/>
  <c r="I48" i="3" s="1"/>
  <c r="L48" i="3" s="1"/>
  <c r="W35" i="3"/>
  <c r="I35" i="3" s="1"/>
  <c r="L35" i="3" s="1"/>
  <c r="X48" i="3"/>
  <c r="J48" i="3" s="1"/>
  <c r="M48" i="3" s="1"/>
  <c r="W34" i="3"/>
  <c r="I34" i="3" s="1"/>
  <c r="L34" i="3" s="1"/>
  <c r="W45" i="3"/>
  <c r="I45" i="3" s="1"/>
  <c r="L45" i="3" s="1"/>
  <c r="W47" i="3"/>
  <c r="I47" i="3" s="1"/>
  <c r="L47" i="3" s="1"/>
  <c r="Y38" i="3"/>
  <c r="K38" i="3" s="1"/>
  <c r="N38" i="3" s="1"/>
  <c r="X35" i="3"/>
  <c r="J35" i="3" s="1"/>
  <c r="M35" i="3" s="1"/>
  <c r="Y34" i="3"/>
  <c r="K34" i="3" s="1"/>
  <c r="N34" i="3" s="1"/>
  <c r="X34" i="3"/>
  <c r="J34" i="3" s="1"/>
  <c r="M34" i="3" s="1"/>
  <c r="W38" i="3"/>
  <c r="I38" i="3" s="1"/>
  <c r="L38" i="3" s="1"/>
  <c r="AD53" i="2"/>
  <c r="AT54" i="2"/>
  <c r="Z42" i="2"/>
  <c r="AP41" i="2"/>
  <c r="Z14" i="2"/>
  <c r="AP15" i="2"/>
  <c r="AD98" i="2"/>
  <c r="AT97" i="2"/>
  <c r="X92" i="2"/>
  <c r="AN91" i="2"/>
  <c r="P29" i="3"/>
  <c r="AF45" i="2"/>
  <c r="AV44" i="2"/>
  <c r="X49" i="2"/>
  <c r="AN50" i="2"/>
  <c r="AU63" i="2"/>
  <c r="AE64" i="2"/>
  <c r="U17" i="3"/>
  <c r="T17" i="3"/>
  <c r="T16" i="3"/>
  <c r="U16" i="3"/>
  <c r="O14" i="3"/>
  <c r="M14" i="3"/>
  <c r="Q19" i="3"/>
  <c r="P19" i="3"/>
  <c r="R19" i="3"/>
  <c r="S19" i="3"/>
  <c r="S29" i="3"/>
  <c r="T29" i="3" s="1"/>
  <c r="Q29" i="3"/>
  <c r="N14" i="3"/>
  <c r="T21" i="3" l="1"/>
  <c r="N24" i="3"/>
  <c r="O24" i="3"/>
  <c r="Q24" i="3" s="1"/>
  <c r="Y29" i="2"/>
  <c r="AO30" i="2"/>
  <c r="AU23" i="2"/>
  <c r="AE22" i="2"/>
  <c r="AO60" i="2"/>
  <c r="Y61" i="2"/>
  <c r="AF10" i="2"/>
  <c r="AV11" i="2"/>
  <c r="AV45" i="2"/>
  <c r="AF46" i="2"/>
  <c r="AD99" i="2"/>
  <c r="AT98" i="2"/>
  <c r="AP14" i="2"/>
  <c r="Z13" i="2"/>
  <c r="AN49" i="2"/>
  <c r="X48" i="2"/>
  <c r="AU64" i="2"/>
  <c r="AE65" i="2"/>
  <c r="X93" i="2"/>
  <c r="AN92" i="2"/>
  <c r="AP42" i="2"/>
  <c r="Z43" i="2"/>
  <c r="AD52" i="2"/>
  <c r="AT53" i="2"/>
  <c r="P14" i="3"/>
  <c r="Q14" i="3"/>
  <c r="R24" i="3"/>
  <c r="S24" i="3"/>
  <c r="T19" i="3"/>
  <c r="U19" i="3"/>
  <c r="U29" i="3"/>
  <c r="R14" i="3"/>
  <c r="S14" i="3"/>
  <c r="P24" i="3" l="1"/>
  <c r="AU22" i="2"/>
  <c r="AE21" i="2"/>
  <c r="Y28" i="2"/>
  <c r="AO29" i="2"/>
  <c r="AV10" i="2"/>
  <c r="AF9" i="2"/>
  <c r="Y62" i="2"/>
  <c r="AO61" i="2"/>
  <c r="Z12" i="2"/>
  <c r="AP13" i="2"/>
  <c r="AV46" i="2"/>
  <c r="AF47" i="2"/>
  <c r="AU65" i="2"/>
  <c r="AE66" i="2"/>
  <c r="AN48" i="2"/>
  <c r="X47" i="2"/>
  <c r="AT52" i="2"/>
  <c r="AD51" i="2"/>
  <c r="AD100" i="2"/>
  <c r="AT99" i="2"/>
  <c r="Z44" i="2"/>
  <c r="AP43" i="2"/>
  <c r="X94" i="2"/>
  <c r="AN93" i="2"/>
  <c r="T24" i="3"/>
  <c r="U24" i="3"/>
  <c r="T14" i="3"/>
  <c r="U14" i="3"/>
  <c r="AO28" i="2" l="1"/>
  <c r="Y27" i="2"/>
  <c r="AU21" i="2"/>
  <c r="AE20" i="2"/>
  <c r="AO62" i="2"/>
  <c r="Y63" i="2"/>
  <c r="AV9" i="2"/>
  <c r="AF8" i="2"/>
  <c r="AD50" i="2"/>
  <c r="AT51" i="2"/>
  <c r="X46" i="2"/>
  <c r="AN47" i="2"/>
  <c r="AU66" i="2"/>
  <c r="AE67" i="2"/>
  <c r="AV47" i="2"/>
  <c r="AF48" i="2"/>
  <c r="AT100" i="2"/>
  <c r="AD101" i="2"/>
  <c r="X95" i="2"/>
  <c r="AN94" i="2"/>
  <c r="Z45" i="2"/>
  <c r="AP44" i="2"/>
  <c r="Z11" i="2"/>
  <c r="AP12" i="2"/>
  <c r="Y26" i="2" l="1"/>
  <c r="AO27" i="2"/>
  <c r="AU20" i="2"/>
  <c r="AE19" i="2"/>
  <c r="AF7" i="2"/>
  <c r="AV8" i="2"/>
  <c r="AO63" i="2"/>
  <c r="Y64" i="2"/>
  <c r="AE68" i="2"/>
  <c r="AU67" i="2"/>
  <c r="AT101" i="2"/>
  <c r="AD102" i="2"/>
  <c r="AT102" i="2" s="1"/>
  <c r="AF49" i="2"/>
  <c r="AV48" i="2"/>
  <c r="Z10" i="2"/>
  <c r="AP11" i="2"/>
  <c r="AN95" i="2"/>
  <c r="X96" i="2"/>
  <c r="AN46" i="2"/>
  <c r="X45" i="2"/>
  <c r="AP45" i="2"/>
  <c r="Z46" i="2"/>
  <c r="AT50" i="2"/>
  <c r="AD49" i="2"/>
  <c r="AU19" i="2" l="1"/>
  <c r="AE18" i="2"/>
  <c r="AO26" i="2"/>
  <c r="Y25" i="2"/>
  <c r="AO64" i="2"/>
  <c r="Y65" i="2"/>
  <c r="AV7" i="2"/>
  <c r="AF6" i="2"/>
  <c r="AP10" i="2"/>
  <c r="Z9" i="2"/>
  <c r="AD48" i="2"/>
  <c r="AT49" i="2"/>
  <c r="Z47" i="2"/>
  <c r="AP46" i="2"/>
  <c r="AN96" i="2"/>
  <c r="X97" i="2"/>
  <c r="X44" i="2"/>
  <c r="AN45" i="2"/>
  <c r="AV49" i="2"/>
  <c r="AF50" i="2"/>
  <c r="AE69" i="2"/>
  <c r="AU68" i="2"/>
  <c r="Y24" i="2" l="1"/>
  <c r="AO25" i="2"/>
  <c r="AU18" i="2"/>
  <c r="AE17" i="2"/>
  <c r="AF5" i="2"/>
  <c r="AV6" i="2"/>
  <c r="AO65" i="2"/>
  <c r="Y66" i="2"/>
  <c r="AV50" i="2"/>
  <c r="AF51" i="2"/>
  <c r="AU69" i="2"/>
  <c r="AE70" i="2"/>
  <c r="AN97" i="2"/>
  <c r="X98" i="2"/>
  <c r="X43" i="2"/>
  <c r="AN44" i="2"/>
  <c r="AD47" i="2"/>
  <c r="AT48" i="2"/>
  <c r="AP9" i="2"/>
  <c r="Z8" i="2"/>
  <c r="AP47" i="2"/>
  <c r="Z48" i="2"/>
  <c r="Y23" i="2" l="1"/>
  <c r="AO24" i="2"/>
  <c r="AE16" i="2"/>
  <c r="AU17" i="2"/>
  <c r="Y67" i="2"/>
  <c r="AO66" i="2"/>
  <c r="AF4" i="2"/>
  <c r="AV4" i="2" s="1"/>
  <c r="AV5" i="2"/>
  <c r="Z7" i="2"/>
  <c r="AP8" i="2"/>
  <c r="AN98" i="2"/>
  <c r="X99" i="2"/>
  <c r="AP48" i="2"/>
  <c r="Z49" i="2"/>
  <c r="AE71" i="2"/>
  <c r="AU70" i="2"/>
  <c r="AF52" i="2"/>
  <c r="AV51" i="2"/>
  <c r="AT47" i="2"/>
  <c r="AD46" i="2"/>
  <c r="AN43" i="2"/>
  <c r="X42" i="2"/>
  <c r="AU16" i="2" l="1"/>
  <c r="AE15" i="2"/>
  <c r="AO23" i="2"/>
  <c r="Y22" i="2"/>
  <c r="Y68" i="2"/>
  <c r="AO67" i="2"/>
  <c r="X41" i="2"/>
  <c r="AN42" i="2"/>
  <c r="AP49" i="2"/>
  <c r="Z50" i="2"/>
  <c r="AD45" i="2"/>
  <c r="AT46" i="2"/>
  <c r="X100" i="2"/>
  <c r="AN99" i="2"/>
  <c r="AU71" i="2"/>
  <c r="AE72" i="2"/>
  <c r="AF53" i="2"/>
  <c r="AV52" i="2"/>
  <c r="AP7" i="2"/>
  <c r="Z6" i="2"/>
  <c r="AO22" i="2" l="1"/>
  <c r="Y21" i="2"/>
  <c r="AE14" i="2"/>
  <c r="AU15" i="2"/>
  <c r="AO68" i="2"/>
  <c r="Y69" i="2"/>
  <c r="AD44" i="2"/>
  <c r="AT45" i="2"/>
  <c r="AP6" i="2"/>
  <c r="Z5" i="2"/>
  <c r="Z51" i="2"/>
  <c r="AP50" i="2"/>
  <c r="AV53" i="2"/>
  <c r="AF54" i="2"/>
  <c r="X40" i="2"/>
  <c r="AN41" i="2"/>
  <c r="AN100" i="2"/>
  <c r="X101" i="2"/>
  <c r="AU72" i="2"/>
  <c r="AE73" i="2"/>
  <c r="AE13" i="2" l="1"/>
  <c r="AU14" i="2"/>
  <c r="AO21" i="2"/>
  <c r="Y20" i="2"/>
  <c r="AO69" i="2"/>
  <c r="Y70" i="2"/>
  <c r="AN40" i="2"/>
  <c r="X39" i="2"/>
  <c r="Z52" i="2"/>
  <c r="AP51" i="2"/>
  <c r="AD43" i="2"/>
  <c r="AT44" i="2"/>
  <c r="AN101" i="2"/>
  <c r="X102" i="2"/>
  <c r="AN102" i="2" s="1"/>
  <c r="AV54" i="2"/>
  <c r="AF55" i="2"/>
  <c r="Z4" i="2"/>
  <c r="AP4" i="2" s="1"/>
  <c r="AP5" i="2"/>
  <c r="AE74" i="2"/>
  <c r="AU73" i="2"/>
  <c r="Y19" i="2" l="1"/>
  <c r="AO20" i="2"/>
  <c r="AU13" i="2"/>
  <c r="AE12" i="2"/>
  <c r="AO70" i="2"/>
  <c r="Y71" i="2"/>
  <c r="AF56" i="2"/>
  <c r="AV55" i="2"/>
  <c r="X38" i="2"/>
  <c r="AN39" i="2"/>
  <c r="AU74" i="2"/>
  <c r="AE75" i="2"/>
  <c r="AT43" i="2"/>
  <c r="AD42" i="2"/>
  <c r="Z53" i="2"/>
  <c r="AP52" i="2"/>
  <c r="AE11" i="2" l="1"/>
  <c r="AU12" i="2"/>
  <c r="AO19" i="2"/>
  <c r="Y18" i="2"/>
  <c r="Y72" i="2"/>
  <c r="AO71" i="2"/>
  <c r="AD41" i="2"/>
  <c r="AT42" i="2"/>
  <c r="AU75" i="2"/>
  <c r="AE76" i="2"/>
  <c r="AP53" i="2"/>
  <c r="Z54" i="2"/>
  <c r="AN38" i="2"/>
  <c r="X37" i="2"/>
  <c r="AV56" i="2"/>
  <c r="AF57" i="2"/>
  <c r="AO18" i="2" l="1"/>
  <c r="Y17" i="2"/>
  <c r="AU11" i="2"/>
  <c r="AE10" i="2"/>
  <c r="Y73" i="2"/>
  <c r="AO72" i="2"/>
  <c r="X36" i="2"/>
  <c r="AN37" i="2"/>
  <c r="AP54" i="2"/>
  <c r="Z55" i="2"/>
  <c r="AU76" i="2"/>
  <c r="AE77" i="2"/>
  <c r="AV57" i="2"/>
  <c r="AF58" i="2"/>
  <c r="AT41" i="2"/>
  <c r="AD40" i="2"/>
  <c r="AU10" i="2" l="1"/>
  <c r="AE9" i="2"/>
  <c r="AO17" i="2"/>
  <c r="Y16" i="2"/>
  <c r="Y74" i="2"/>
  <c r="AO73" i="2"/>
  <c r="AU77" i="2"/>
  <c r="AE78" i="2"/>
  <c r="Z56" i="2"/>
  <c r="AP55" i="2"/>
  <c r="AD39" i="2"/>
  <c r="AT40" i="2"/>
  <c r="AF59" i="2"/>
  <c r="AV58" i="2"/>
  <c r="X35" i="2"/>
  <c r="AN36" i="2"/>
  <c r="AO16" i="2" l="1"/>
  <c r="Y15" i="2"/>
  <c r="AE8" i="2"/>
  <c r="AU9" i="2"/>
  <c r="AO74" i="2"/>
  <c r="Y75" i="2"/>
  <c r="X34" i="2"/>
  <c r="AN35" i="2"/>
  <c r="Z57" i="2"/>
  <c r="AP56" i="2"/>
  <c r="AU78" i="2"/>
  <c r="AE79" i="2"/>
  <c r="AV59" i="2"/>
  <c r="AF60" i="2"/>
  <c r="AT39" i="2"/>
  <c r="AD38" i="2"/>
  <c r="AU8" i="2" l="1"/>
  <c r="AE7" i="2"/>
  <c r="AO15" i="2"/>
  <c r="Y14" i="2"/>
  <c r="AO75" i="2"/>
  <c r="Y76" i="2"/>
  <c r="X33" i="2"/>
  <c r="AN34" i="2"/>
  <c r="AT38" i="2"/>
  <c r="AD37" i="2"/>
  <c r="AF61" i="2"/>
  <c r="AV60" i="2"/>
  <c r="AE80" i="2"/>
  <c r="AU79" i="2"/>
  <c r="Z58" i="2"/>
  <c r="AP57" i="2"/>
  <c r="AO14" i="2" l="1"/>
  <c r="Y13" i="2"/>
  <c r="AU7" i="2"/>
  <c r="AE6" i="2"/>
  <c r="Y77" i="2"/>
  <c r="AO76" i="2"/>
  <c r="AE81" i="2"/>
  <c r="AU80" i="2"/>
  <c r="AT37" i="2"/>
  <c r="AD36" i="2"/>
  <c r="AP58" i="2"/>
  <c r="Z59" i="2"/>
  <c r="AV61" i="2"/>
  <c r="AF62" i="2"/>
  <c r="AN33" i="2"/>
  <c r="X32" i="2"/>
  <c r="AU6" i="2" l="1"/>
  <c r="AE5" i="2"/>
  <c r="AO13" i="2"/>
  <c r="Y12" i="2"/>
  <c r="Y78" i="2"/>
  <c r="AO77" i="2"/>
  <c r="AF63" i="2"/>
  <c r="AV62" i="2"/>
  <c r="AT36" i="2"/>
  <c r="AD35" i="2"/>
  <c r="AN32" i="2"/>
  <c r="X31" i="2"/>
  <c r="Z60" i="2"/>
  <c r="AP59" i="2"/>
  <c r="AU81" i="2"/>
  <c r="AE82" i="2"/>
  <c r="AU5" i="2" l="1"/>
  <c r="AE4" i="2"/>
  <c r="AU4" i="2" s="1"/>
  <c r="AO12" i="2"/>
  <c r="Y11" i="2"/>
  <c r="Y79" i="2"/>
  <c r="AO78" i="2"/>
  <c r="AD34" i="2"/>
  <c r="AT35" i="2"/>
  <c r="AE83" i="2"/>
  <c r="AU82" i="2"/>
  <c r="Z61" i="2"/>
  <c r="AP60" i="2"/>
  <c r="X30" i="2"/>
  <c r="AN31" i="2"/>
  <c r="AF64" i="2"/>
  <c r="AV63" i="2"/>
  <c r="AO11" i="2" l="1"/>
  <c r="Y10" i="2"/>
  <c r="Y80" i="2"/>
  <c r="AO79" i="2"/>
  <c r="X29" i="2"/>
  <c r="AN30" i="2"/>
  <c r="AT34" i="2"/>
  <c r="AD33" i="2"/>
  <c r="AF65" i="2"/>
  <c r="AV64" i="2"/>
  <c r="Z62" i="2"/>
  <c r="AP61" i="2"/>
  <c r="AU83" i="2"/>
  <c r="AE84" i="2"/>
  <c r="Y9" i="2" l="1"/>
  <c r="AO10" i="2"/>
  <c r="Y81" i="2"/>
  <c r="AO80" i="2"/>
  <c r="AV65" i="2"/>
  <c r="AF66" i="2"/>
  <c r="AT33" i="2"/>
  <c r="AD32" i="2"/>
  <c r="AP62" i="2"/>
  <c r="Z63" i="2"/>
  <c r="AU84" i="2"/>
  <c r="AE85" i="2"/>
  <c r="AN29" i="2"/>
  <c r="X28" i="2"/>
  <c r="AO9" i="2" l="1"/>
  <c r="Y8" i="2"/>
  <c r="AO81" i="2"/>
  <c r="Y82" i="2"/>
  <c r="X27" i="2"/>
  <c r="AN28" i="2"/>
  <c r="AP63" i="2"/>
  <c r="Z64" i="2"/>
  <c r="AE86" i="2"/>
  <c r="AU85" i="2"/>
  <c r="AD31" i="2"/>
  <c r="AT32" i="2"/>
  <c r="AV66" i="2"/>
  <c r="AF67" i="2"/>
  <c r="Y7" i="2" l="1"/>
  <c r="AO8" i="2"/>
  <c r="Y83" i="2"/>
  <c r="AO82" i="2"/>
  <c r="Z65" i="2"/>
  <c r="AP64" i="2"/>
  <c r="AD30" i="2"/>
  <c r="AT31" i="2"/>
  <c r="AE87" i="2"/>
  <c r="AU86" i="2"/>
  <c r="AF68" i="2"/>
  <c r="AV67" i="2"/>
  <c r="AN27" i="2"/>
  <c r="X26" i="2"/>
  <c r="AO7" i="2" l="1"/>
  <c r="Y6" i="2"/>
  <c r="AO83" i="2"/>
  <c r="Y84" i="2"/>
  <c r="AV68" i="2"/>
  <c r="AF69" i="2"/>
  <c r="AT30" i="2"/>
  <c r="AD29" i="2"/>
  <c r="X25" i="2"/>
  <c r="AN26" i="2"/>
  <c r="AU87" i="2"/>
  <c r="AE88" i="2"/>
  <c r="AP65" i="2"/>
  <c r="Z66" i="2"/>
  <c r="Y5" i="2" l="1"/>
  <c r="AO6" i="2"/>
  <c r="Y85" i="2"/>
  <c r="AO84" i="2"/>
  <c r="AT29" i="2"/>
  <c r="AD28" i="2"/>
  <c r="Z67" i="2"/>
  <c r="AP66" i="2"/>
  <c r="AN25" i="2"/>
  <c r="X24" i="2"/>
  <c r="AE89" i="2"/>
  <c r="AU88" i="2"/>
  <c r="AF70" i="2"/>
  <c r="AV69" i="2"/>
  <c r="AO5" i="2" l="1"/>
  <c r="Y4" i="2"/>
  <c r="AO4" i="2" s="1"/>
  <c r="AO85" i="2"/>
  <c r="Y86" i="2"/>
  <c r="AV70" i="2"/>
  <c r="AF71" i="2"/>
  <c r="AE90" i="2"/>
  <c r="AU89" i="2"/>
  <c r="AP67" i="2"/>
  <c r="Z68" i="2"/>
  <c r="AN24" i="2"/>
  <c r="X23" i="2"/>
  <c r="AT28" i="2"/>
  <c r="AD27" i="2"/>
  <c r="Y87" i="2" l="1"/>
  <c r="AO86" i="2"/>
  <c r="AE91" i="2"/>
  <c r="AU90" i="2"/>
  <c r="AD26" i="2"/>
  <c r="AT27" i="2"/>
  <c r="AP68" i="2"/>
  <c r="Z69" i="2"/>
  <c r="AF72" i="2"/>
  <c r="AV71" i="2"/>
  <c r="X22" i="2"/>
  <c r="AN23" i="2"/>
  <c r="AO87" i="2" l="1"/>
  <c r="Y88" i="2"/>
  <c r="AN22" i="2"/>
  <c r="X21" i="2"/>
  <c r="AU91" i="2"/>
  <c r="AE92" i="2"/>
  <c r="Z70" i="2"/>
  <c r="AP69" i="2"/>
  <c r="AF73" i="2"/>
  <c r="AV72" i="2"/>
  <c r="AT26" i="2"/>
  <c r="AD25" i="2"/>
  <c r="AO88" i="2" l="1"/>
  <c r="Y89" i="2"/>
  <c r="AE93" i="2"/>
  <c r="AU92" i="2"/>
  <c r="AT25" i="2"/>
  <c r="AD24" i="2"/>
  <c r="Z71" i="2"/>
  <c r="AP70" i="2"/>
  <c r="X20" i="2"/>
  <c r="AN21" i="2"/>
  <c r="AF74" i="2"/>
  <c r="AV73" i="2"/>
  <c r="Y90" i="2" l="1"/>
  <c r="AO89" i="2"/>
  <c r="AD23" i="2"/>
  <c r="AT24" i="2"/>
  <c r="X19" i="2"/>
  <c r="AN20" i="2"/>
  <c r="AF75" i="2"/>
  <c r="AV74" i="2"/>
  <c r="AP71" i="2"/>
  <c r="Z72" i="2"/>
  <c r="AE94" i="2"/>
  <c r="AU93" i="2"/>
  <c r="AO90" i="2" l="1"/>
  <c r="Y91" i="2"/>
  <c r="AV75" i="2"/>
  <c r="AF76" i="2"/>
  <c r="AN19" i="2"/>
  <c r="X18" i="2"/>
  <c r="Z73" i="2"/>
  <c r="AP72" i="2"/>
  <c r="AE95" i="2"/>
  <c r="AU94" i="2"/>
  <c r="AT23" i="2"/>
  <c r="AD22" i="2"/>
  <c r="Y92" i="2" l="1"/>
  <c r="AO91" i="2"/>
  <c r="X17" i="2"/>
  <c r="AN18" i="2"/>
  <c r="AD21" i="2"/>
  <c r="AT22" i="2"/>
  <c r="AU95" i="2"/>
  <c r="AE96" i="2"/>
  <c r="AV76" i="2"/>
  <c r="AF77" i="2"/>
  <c r="AP73" i="2"/>
  <c r="Z74" i="2"/>
  <c r="Y93" i="2" l="1"/>
  <c r="AO92" i="2"/>
  <c r="AD20" i="2"/>
  <c r="AT21" i="2"/>
  <c r="AF78" i="2"/>
  <c r="AV77" i="2"/>
  <c r="AU96" i="2"/>
  <c r="AE97" i="2"/>
  <c r="Z75" i="2"/>
  <c r="AP74" i="2"/>
  <c r="X16" i="2"/>
  <c r="AN17" i="2"/>
  <c r="Y94" i="2" l="1"/>
  <c r="AO93" i="2"/>
  <c r="AE98" i="2"/>
  <c r="AU97" i="2"/>
  <c r="X15" i="2"/>
  <c r="AN16" i="2"/>
  <c r="Z76" i="2"/>
  <c r="AP75" i="2"/>
  <c r="AF79" i="2"/>
  <c r="AV78" i="2"/>
  <c r="AT20" i="2"/>
  <c r="AD19" i="2"/>
  <c r="Y95" i="2" l="1"/>
  <c r="AO94" i="2"/>
  <c r="Z77" i="2"/>
  <c r="AP76" i="2"/>
  <c r="AU98" i="2"/>
  <c r="AE99" i="2"/>
  <c r="AD18" i="2"/>
  <c r="AT19" i="2"/>
  <c r="AV79" i="2"/>
  <c r="AF80" i="2"/>
  <c r="X14" i="2"/>
  <c r="AN15" i="2"/>
  <c r="AO95" i="2" l="1"/>
  <c r="Y96" i="2"/>
  <c r="AE100" i="2"/>
  <c r="AU99" i="2"/>
  <c r="AN14" i="2"/>
  <c r="X13" i="2"/>
  <c r="AF81" i="2"/>
  <c r="AV80" i="2"/>
  <c r="AD17" i="2"/>
  <c r="AT18" i="2"/>
  <c r="AP77" i="2"/>
  <c r="Z78" i="2"/>
  <c r="AO96" i="2" l="1"/>
  <c r="Y97" i="2"/>
  <c r="AP78" i="2"/>
  <c r="Z79" i="2"/>
  <c r="AF82" i="2"/>
  <c r="AV81" i="2"/>
  <c r="AU100" i="2"/>
  <c r="AE101" i="2"/>
  <c r="X12" i="2"/>
  <c r="AN13" i="2"/>
  <c r="AT17" i="2"/>
  <c r="AD16" i="2"/>
  <c r="AO97" i="2" l="1"/>
  <c r="Y98" i="2"/>
  <c r="AT16" i="2"/>
  <c r="AD15" i="2"/>
  <c r="AN12" i="2"/>
  <c r="X11" i="2"/>
  <c r="AV82" i="2"/>
  <c r="AF83" i="2"/>
  <c r="AE102" i="2"/>
  <c r="AU102" i="2" s="1"/>
  <c r="H54" i="3" s="1"/>
  <c r="AU101" i="2"/>
  <c r="AP79" i="2"/>
  <c r="Z80" i="2"/>
  <c r="Y99" i="2" l="1"/>
  <c r="AO98" i="2"/>
  <c r="Z81" i="2"/>
  <c r="AP80" i="2"/>
  <c r="X10" i="2"/>
  <c r="AN11" i="2"/>
  <c r="AF84" i="2"/>
  <c r="AV83" i="2"/>
  <c r="AD14" i="2"/>
  <c r="AT15" i="2"/>
  <c r="AO99" i="2" l="1"/>
  <c r="Y100" i="2"/>
  <c r="AF85" i="2"/>
  <c r="AV84" i="2"/>
  <c r="AT14" i="2"/>
  <c r="AD13" i="2"/>
  <c r="X9" i="2"/>
  <c r="AN10" i="2"/>
  <c r="AP81" i="2"/>
  <c r="Z82" i="2"/>
  <c r="Y101" i="2" l="1"/>
  <c r="AO100" i="2"/>
  <c r="AN9" i="2"/>
  <c r="X8" i="2"/>
  <c r="AP82" i="2"/>
  <c r="Z83" i="2"/>
  <c r="AT13" i="2"/>
  <c r="AD12" i="2"/>
  <c r="AF86" i="2"/>
  <c r="AV85" i="2"/>
  <c r="AO101" i="2" l="1"/>
  <c r="Y102" i="2"/>
  <c r="AO102" i="2" s="1"/>
  <c r="H52" i="3" s="1"/>
  <c r="AF87" i="2"/>
  <c r="AV86" i="2"/>
  <c r="AP83" i="2"/>
  <c r="Z84" i="2"/>
  <c r="AD11" i="2"/>
  <c r="AT12" i="2"/>
  <c r="X7" i="2"/>
  <c r="AN8" i="2"/>
  <c r="Z85" i="2" l="1"/>
  <c r="AP84" i="2"/>
  <c r="X6" i="2"/>
  <c r="AN7" i="2"/>
  <c r="AD10" i="2"/>
  <c r="AT11" i="2"/>
  <c r="AF88" i="2"/>
  <c r="AV87" i="2"/>
  <c r="AN6" i="2" l="1"/>
  <c r="X5" i="2"/>
  <c r="AF89" i="2"/>
  <c r="AV88" i="2"/>
  <c r="AD9" i="2"/>
  <c r="AT10" i="2"/>
  <c r="Z86" i="2"/>
  <c r="AP85" i="2"/>
  <c r="AP86" i="2" l="1"/>
  <c r="Z87" i="2"/>
  <c r="AV89" i="2"/>
  <c r="AF90" i="2"/>
  <c r="X4" i="2"/>
  <c r="AN4" i="2" s="1"/>
  <c r="G52" i="3" s="1"/>
  <c r="AN5" i="2"/>
  <c r="AT9" i="2"/>
  <c r="AD8" i="2"/>
  <c r="AF91" i="2" l="1"/>
  <c r="AV90" i="2"/>
  <c r="AT8" i="2"/>
  <c r="AD7" i="2"/>
  <c r="Z88" i="2"/>
  <c r="AP87" i="2"/>
  <c r="AD6" i="2" l="1"/>
  <c r="AT7" i="2"/>
  <c r="AP88" i="2"/>
  <c r="Z89" i="2"/>
  <c r="AV91" i="2"/>
  <c r="AF92" i="2"/>
  <c r="AF93" i="2" l="1"/>
  <c r="AV92" i="2"/>
  <c r="AP89" i="2"/>
  <c r="Z90" i="2"/>
  <c r="AT6" i="2"/>
  <c r="AD5" i="2"/>
  <c r="AT5" i="2" l="1"/>
  <c r="AD4" i="2"/>
  <c r="AT4" i="2" s="1"/>
  <c r="G54" i="3" s="1"/>
  <c r="Z91" i="2"/>
  <c r="AP90" i="2"/>
  <c r="AF94" i="2"/>
  <c r="AV93" i="2"/>
  <c r="AP91" i="2" l="1"/>
  <c r="Z92" i="2"/>
  <c r="AV94" i="2"/>
  <c r="AF95" i="2"/>
  <c r="AV95" i="2" l="1"/>
  <c r="AF96" i="2"/>
  <c r="Z93" i="2"/>
  <c r="AP92" i="2"/>
  <c r="AV96" i="2" l="1"/>
  <c r="AF97" i="2"/>
  <c r="Z94" i="2"/>
  <c r="AP93" i="2"/>
  <c r="Z95" i="2" l="1"/>
  <c r="AP94" i="2"/>
  <c r="AF98" i="2"/>
  <c r="AV97" i="2"/>
  <c r="AV98" i="2" l="1"/>
  <c r="AF99" i="2"/>
  <c r="AP95" i="2"/>
  <c r="Z96" i="2"/>
  <c r="AV99" i="2" l="1"/>
  <c r="AF100" i="2"/>
  <c r="Z97" i="2"/>
  <c r="AP96" i="2"/>
  <c r="Z98" i="2" l="1"/>
  <c r="AP97" i="2"/>
  <c r="AV100" i="2"/>
  <c r="AF101" i="2"/>
  <c r="AF102" i="2" l="1"/>
  <c r="AV102" i="2" s="1"/>
  <c r="I54" i="3" s="1"/>
  <c r="AV101" i="2"/>
  <c r="AP98" i="2"/>
  <c r="Z99" i="2"/>
  <c r="Z100" i="2" l="1"/>
  <c r="AP99" i="2"/>
  <c r="AP100" i="2" l="1"/>
  <c r="Z101" i="2"/>
  <c r="AP101" i="2" l="1"/>
  <c r="Z102" i="2"/>
  <c r="AP102" i="2" s="1"/>
  <c r="I5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W. Poulsen</author>
  </authors>
  <commentList>
    <comment ref="BJ2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Chris W. Poulsen: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port" type="6" refreshedVersion="0" background="1">
    <textPr prompt="0" sourceFile="M:\IAM-9C\report.csv">
      <textFields>
        <textField/>
      </textFields>
    </textPr>
  </connection>
  <connection id="2" xr16:uid="{51E708A4-C17D-424C-8096-D21F23F11D02}" name="report1" type="6" refreshedVersion="7" background="1" saveData="1">
    <textPr prompt="0" codePage="437" sourceFile="M:\IAM-9C\Data\IAM-9C-00446\report.csv" comma="1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A8300F05-0161-413E-9282-959C72DCEF66}" name="std" type="6" refreshedVersion="7" background="1" saveData="1">
    <textPr prompt="0" codePage="437" sourceFile="M:\IAM-9C\Data\IAM-9C-00446\std.csv" comma="1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<sst xmlns="http://schemas.openxmlformats.org/spreadsheetml/2006/main" count="442" uniqueCount="230">
  <si>
    <t>x2</t>
  </si>
  <si>
    <t>y2</t>
  </si>
  <si>
    <t>z2</t>
  </si>
  <si>
    <t>x10</t>
  </si>
  <si>
    <t>y10</t>
  </si>
  <si>
    <t>z10</t>
  </si>
  <si>
    <t>A</t>
  </si>
  <si>
    <t>B</t>
  </si>
  <si>
    <t>C</t>
  </si>
  <si>
    <t>E</t>
  </si>
  <si>
    <t>s0</t>
  </si>
  <si>
    <t>s1</t>
  </si>
  <si>
    <t>s2</t>
  </si>
  <si>
    <t>D</t>
  </si>
  <si>
    <t>Blackbody</t>
  </si>
  <si>
    <t>Sample</t>
  </si>
  <si>
    <t>itemp</t>
  </si>
  <si>
    <t>xx</t>
  </si>
  <si>
    <t>yy</t>
  </si>
  <si>
    <t>den</t>
  </si>
  <si>
    <t>m1</t>
  </si>
  <si>
    <t>m2</t>
  </si>
  <si>
    <t>e</t>
  </si>
  <si>
    <t>c1</t>
  </si>
  <si>
    <t>c2</t>
  </si>
  <si>
    <t>m560</t>
  </si>
  <si>
    <t>Wavelength</t>
  </si>
  <si>
    <t>Standard Observers</t>
  </si>
  <si>
    <t>Reference Illuminants</t>
  </si>
  <si>
    <t>D Illuminant Values</t>
  </si>
  <si>
    <t>Custom</t>
  </si>
  <si>
    <t>Illuminant</t>
  </si>
  <si>
    <t>Spectrum</t>
  </si>
  <si>
    <t>2-Degree</t>
  </si>
  <si>
    <t>10-Degree</t>
  </si>
  <si>
    <t>X</t>
  </si>
  <si>
    <t>Y</t>
  </si>
  <si>
    <t>Z</t>
  </si>
  <si>
    <t>x</t>
  </si>
  <si>
    <t>L</t>
  </si>
  <si>
    <t>a</t>
  </si>
  <si>
    <t>b</t>
  </si>
  <si>
    <t>u</t>
  </si>
  <si>
    <t>v</t>
  </si>
  <si>
    <t>y</t>
  </si>
  <si>
    <t>Observer</t>
  </si>
  <si>
    <t>Correlated Color</t>
  </si>
  <si>
    <t>Temperature</t>
  </si>
  <si>
    <t>C(ab)</t>
  </si>
  <si>
    <t>H(ab)</t>
  </si>
  <si>
    <t>C(uv)</t>
  </si>
  <si>
    <t>H(uv)</t>
  </si>
  <si>
    <t>D Illuminant</t>
  </si>
  <si>
    <t>(nm)</t>
  </si>
  <si>
    <t>epsilon</t>
  </si>
  <si>
    <t>kappa</t>
  </si>
  <si>
    <t>Y &lt;-&gt; L</t>
  </si>
  <si>
    <t>xr</t>
  </si>
  <si>
    <t>yr</t>
  </si>
  <si>
    <t>zr</t>
  </si>
  <si>
    <t>fx</t>
  </si>
  <si>
    <t>fy</t>
  </si>
  <si>
    <t>fz</t>
  </si>
  <si>
    <t>Xr</t>
  </si>
  <si>
    <t>Yr</t>
  </si>
  <si>
    <t>Zr</t>
  </si>
  <si>
    <t>up</t>
  </si>
  <si>
    <t>vp</t>
  </si>
  <si>
    <t>upr</t>
  </si>
  <si>
    <t>vpr</t>
  </si>
  <si>
    <t>Illuminant A</t>
  </si>
  <si>
    <t>temp</t>
  </si>
  <si>
    <t>Visual</t>
  </si>
  <si>
    <t>Type 1</t>
  </si>
  <si>
    <t>Type 2</t>
  </si>
  <si>
    <t>Red</t>
  </si>
  <si>
    <t>Green</t>
  </si>
  <si>
    <t>Blue</t>
  </si>
  <si>
    <t>Status A</t>
  </si>
  <si>
    <t>Status E</t>
  </si>
  <si>
    <t>Status M</t>
  </si>
  <si>
    <t>Status T</t>
  </si>
  <si>
    <t>Density</t>
  </si>
  <si>
    <t>-</t>
  </si>
  <si>
    <t>Adobe RGB (1998)</t>
  </si>
  <si>
    <t>Apple RGB</t>
  </si>
  <si>
    <t>Best RGB</t>
  </si>
  <si>
    <t>Beta RGB</t>
  </si>
  <si>
    <t>Bruce RGB</t>
  </si>
  <si>
    <t>CIE RGB</t>
  </si>
  <si>
    <t>ColorMatch RGB</t>
  </si>
  <si>
    <t>Don RGB 4</t>
  </si>
  <si>
    <t>ECI RGB</t>
  </si>
  <si>
    <t>Ekta Space PS5 RGB</t>
  </si>
  <si>
    <t>NTSC RGB</t>
  </si>
  <si>
    <t>PAL/SECAM RGB</t>
  </si>
  <si>
    <t>ProPhoto RGB</t>
  </si>
  <si>
    <t>SMPTE-C RGB</t>
  </si>
  <si>
    <t>sRGB</t>
  </si>
  <si>
    <t>Wide Gamut RGB</t>
  </si>
  <si>
    <t>Working Space</t>
  </si>
  <si>
    <t>XYZ-to-RGB Matrix</t>
  </si>
  <si>
    <t>D50</t>
  </si>
  <si>
    <t>D65</t>
  </si>
  <si>
    <t>D50 Illuminant</t>
  </si>
  <si>
    <t>D65 Illuminant</t>
  </si>
  <si>
    <t>Range = [0.0, 1.0]</t>
  </si>
  <si>
    <t>Range = [0, 255]</t>
  </si>
  <si>
    <t>Working</t>
  </si>
  <si>
    <t>Space</t>
  </si>
  <si>
    <t>red</t>
  </si>
  <si>
    <t>green</t>
  </si>
  <si>
    <t>blue</t>
  </si>
  <si>
    <t>Linear</t>
  </si>
  <si>
    <t>Reference</t>
  </si>
  <si>
    <t>Gamma</t>
  </si>
  <si>
    <t>(5 nm)</t>
  </si>
  <si>
    <t>F2</t>
  </si>
  <si>
    <t>F7</t>
  </si>
  <si>
    <t>F11</t>
  </si>
  <si>
    <t>Copyright © 2003-2008 Bruce Justin Lindbloom. All Rights Reserved. &lt;http://www.brucelindbloom.com&gt;</t>
  </si>
  <si>
    <t>Version 1.2</t>
  </si>
  <si>
    <t>Copyright © 2003-2011 Bruce Justin Lindbloom. All Rights Reserved. &lt;http://www.brucelindbloom.com&gt;</t>
    <phoneticPr fontId="0" type="noConversion"/>
  </si>
  <si>
    <t>ECI RGB v2</t>
    <phoneticPr fontId="0" type="noConversion"/>
  </si>
  <si>
    <t>CA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</si>
  <si>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</si>
  <si>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</si>
  <si>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</si>
  <si>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</si>
  <si>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</si>
  <si>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</si>
  <si>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</si>
  <si>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</si>
  <si>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</si>
  <si>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</si>
  <si>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</si>
  <si>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</si>
  <si>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</si>
  <si>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</si>
  <si>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</si>
  <si>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</si>
  <si>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</si>
  <si>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</si>
  <si>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</si>
  <si>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</si>
  <si>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</si>
  <si>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</si>
  <si>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</si>
  <si>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</si>
  <si>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Part Number:</t>
  </si>
  <si>
    <t xml:space="preserve"> IAM-9C</t>
  </si>
  <si>
    <t>Job Number:</t>
  </si>
  <si>
    <t>Serial Number:</t>
  </si>
  <si>
    <t>Calibration Date:</t>
  </si>
  <si>
    <t>Temperature:</t>
  </si>
  <si>
    <t>Calibration Data File:</t>
  </si>
  <si>
    <t>Relative Humidity:</t>
  </si>
  <si>
    <t>Wavelength scan range:</t>
  </si>
  <si>
    <t xml:space="preserve"> 340 - 830nm</t>
  </si>
  <si>
    <t>Operator:</t>
  </si>
  <si>
    <t>Reporting Scan Increment:</t>
  </si>
  <si>
    <t xml:space="preserve"> 5nm</t>
  </si>
  <si>
    <t>Report Software rev.:</t>
  </si>
  <si>
    <t>Transmission at specific wavelengths  (1.0000 transmission = 100%T)</t>
  </si>
  <si>
    <t>Large Color spots A1 through B6</t>
  </si>
  <si>
    <t>Clear</t>
  </si>
  <si>
    <t>Neutral</t>
  </si>
  <si>
    <t>Moderate</t>
  </si>
  <si>
    <t>Area</t>
  </si>
  <si>
    <t>Cyan</t>
  </si>
  <si>
    <t>Magenta</t>
  </si>
  <si>
    <t>Yellow</t>
  </si>
  <si>
    <t>Purple</t>
  </si>
  <si>
    <t>White</t>
  </si>
  <si>
    <t xml:space="preserve"> Red</t>
  </si>
  <si>
    <t>Orange</t>
  </si>
  <si>
    <t xml:space="preserve"> ---</t>
  </si>
  <si>
    <t>Page 1 of 4</t>
  </si>
  <si>
    <t>Page 2 of 4</t>
  </si>
  <si>
    <t>Large Color spots C1 through D6</t>
  </si>
  <si>
    <t>Black</t>
  </si>
  <si>
    <t>Bluish</t>
  </si>
  <si>
    <t>Light</t>
  </si>
  <si>
    <t>Dark</t>
  </si>
  <si>
    <t>Flower</t>
  </si>
  <si>
    <t>Foliage</t>
  </si>
  <si>
    <t>Sky</t>
  </si>
  <si>
    <t>Skin</t>
  </si>
  <si>
    <t>Page 3 of 4</t>
  </si>
  <si>
    <t>Page 4 of 4</t>
  </si>
  <si>
    <t>Select Patch  -&gt;</t>
  </si>
  <si>
    <t>Applied Image Inc., 1653 E. Main St. , Rochester, NY 14609,  585-482-0300,  www.appliedimage.com</t>
  </si>
  <si>
    <t>This spreadsheet is provided courtesy of Bruce Lindbloom   (www.brucelindbloom.com)</t>
  </si>
  <si>
    <t>Conversions are a best effort approximation provided for convenience.</t>
  </si>
  <si>
    <t>Referance Wavelength</t>
  </si>
  <si>
    <t>REF 10</t>
  </si>
  <si>
    <t>REF40</t>
  </si>
  <si>
    <t>REF 90</t>
  </si>
  <si>
    <t>REF 100</t>
  </si>
  <si>
    <r>
      <rPr>
        <b/>
        <sz val="12"/>
        <color theme="1"/>
        <rFont val="Calibri"/>
        <family val="2"/>
        <scheme val="minor"/>
      </rPr>
      <t>Instructions:</t>
    </r>
    <r>
      <rPr>
        <sz val="12"/>
        <color theme="1"/>
        <rFont val="Calibri"/>
        <family val="2"/>
        <scheme val="minor"/>
      </rPr>
      <t xml:space="preserve"> Click on the green cell to select which color patch to view in drop down menu.  The various color space conversions will appear in the blue cells.</t>
    </r>
  </si>
  <si>
    <t>Customer Name:</t>
  </si>
  <si>
    <t xml:space="preserve">     ANAB Certificate# AC-2818</t>
  </si>
  <si>
    <t>Copyright 2019, Applied Image, Inc.</t>
  </si>
  <si>
    <t>This spreadsheet is provided as a convenience to Applied Image customers, for use with the IAM-9C Color Transmission Calibration Slide.</t>
  </si>
  <si>
    <t xml:space="preserve">Note: Only the original  transmission data , as provided on the Applied Image Calibration data sheet, and Calibration Certificate is warranted. </t>
  </si>
  <si>
    <t>IAM-9C Cal Data Report rev 2-01.xls</t>
  </si>
  <si>
    <t>Serial</t>
  </si>
  <si>
    <t>IAM-9C-00446</t>
  </si>
  <si>
    <t>Customer Name</t>
  </si>
  <si>
    <t>Job #</t>
  </si>
  <si>
    <t>Customer Address</t>
  </si>
  <si>
    <t>PO #</t>
  </si>
  <si>
    <t>Operator</t>
  </si>
  <si>
    <t>TSF</t>
  </si>
  <si>
    <t>Assembler</t>
  </si>
  <si>
    <t>HDD</t>
  </si>
  <si>
    <t>Humidity</t>
  </si>
  <si>
    <t>Time</t>
  </si>
  <si>
    <t>Dec-16-2021-11:00</t>
  </si>
  <si>
    <t>Dec-16-2021</t>
  </si>
  <si>
    <t>Calibration Data File</t>
  </si>
  <si>
    <t>IAM-9C-00446.csv</t>
  </si>
  <si>
    <t>Software Rev</t>
  </si>
  <si>
    <t>Ver 1.01.00</t>
  </si>
  <si>
    <t>Agreement Errors</t>
  </si>
  <si>
    <t>Shatin New Territories</t>
  </si>
  <si>
    <t>35053337 Hong Kong</t>
  </si>
  <si>
    <t>CC Order # 6670</t>
  </si>
  <si>
    <t>27884-01</t>
  </si>
  <si>
    <t>The Chinese University of Hong Kong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</si>
</sst>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00000000000"/>
    <numFmt numFmtId="166" formatCode="0.0000"/>
    <numFmt numFmtId="167" formatCode="0.000"/>
    <numFmt numFmtId="168" formatCode="0.000000"/>
    <numFmt numFmtId="169" formatCode="0.0000000"/>
    <numFmt numFmtId="170" formatCode="0\ &quot;°F&quot;"/>
    <numFmt numFmtId="171" formatCode="0\ &quot;%R.H&quot;"/>
  </numFmts>
  <fonts count="28">
    <font>
      <sz val="9"/>
      <name val="Genev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Geneva"/>
    </font>
    <font>
      <sz val="9"/>
      <name val="Geneva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indexed="8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4"/>
      <color indexed="8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6"/>
      <name val="Geneva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Geneva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name val="Arial"/>
      <family val="2"/>
    </font>
    <font>
      <sz val="8.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7" fillId="0" borderId="0"/>
    <xf numFmtId="0" fontId="7" fillId="0" borderId="0"/>
    <xf numFmtId="0" fontId="2" fillId="0" borderId="0"/>
    <xf numFmtId="0" fontId="2" fillId="0" borderId="0"/>
    <xf numFmtId="0" fontId="2" fillId="0" borderId="0"/>
  </cellStyleXfs>
  <cellXfs count="324">
    <xf numFmtId="0" fontId="0" fillId="0" borderId="0" xfId="0"/>
    <xf numFmtId="0" fontId="0" fillId="0" borderId="0" xfId="0" applyAlignment="1" applyProtection="1">
      <alignment horizontal="left"/>
      <protection hidden="1"/>
    </xf>
    <xf numFmtId="165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0" fontId="0" fillId="0" borderId="0" xfId="0" applyProtection="1">
      <protection hidden="1"/>
    </xf>
    <xf numFmtId="0" fontId="6" fillId="2" borderId="1" xfId="0" applyFont="1" applyFill="1" applyBorder="1" applyAlignment="1" applyProtection="1">
      <alignment horizontal="center"/>
      <protection hidden="1"/>
    </xf>
    <xf numFmtId="2" fontId="6" fillId="2" borderId="1" xfId="0" applyNumberFormat="1" applyFont="1" applyFill="1" applyBorder="1" applyAlignment="1" applyProtection="1">
      <alignment horizontal="center"/>
      <protection hidden="1"/>
    </xf>
    <xf numFmtId="2" fontId="6" fillId="2" borderId="2" xfId="0" applyNumberFormat="1" applyFont="1" applyFill="1" applyBorder="1" applyAlignment="1" applyProtection="1">
      <alignment horizontal="center"/>
      <protection hidden="1"/>
    </xf>
    <xf numFmtId="2" fontId="6" fillId="2" borderId="3" xfId="0" applyNumberFormat="1" applyFont="1" applyFill="1" applyBorder="1" applyAlignment="1" applyProtection="1">
      <alignment horizontal="center"/>
      <protection hidden="1"/>
    </xf>
    <xf numFmtId="2" fontId="6" fillId="0" borderId="0" xfId="0" applyNumberFormat="1" applyFont="1" applyFill="1" applyBorder="1" applyAlignment="1" applyProtection="1">
      <alignment horizontal="center"/>
      <protection hidden="1"/>
    </xf>
    <xf numFmtId="0" fontId="6" fillId="2" borderId="4" xfId="0" applyFont="1" applyFill="1" applyBorder="1" applyAlignment="1" applyProtection="1">
      <alignment horizontal="center"/>
      <protection hidden="1"/>
    </xf>
    <xf numFmtId="0" fontId="6" fillId="2" borderId="5" xfId="0" applyFont="1" applyFill="1" applyBorder="1" applyAlignment="1" applyProtection="1">
      <alignment horizontal="center"/>
      <protection hidden="1"/>
    </xf>
    <xf numFmtId="0" fontId="6" fillId="2" borderId="6" xfId="0" applyFont="1" applyFill="1" applyBorder="1" applyAlignment="1" applyProtection="1">
      <alignment horizontal="left"/>
      <protection hidden="1"/>
    </xf>
    <xf numFmtId="0" fontId="6" fillId="2" borderId="7" xfId="0" applyFont="1" applyFill="1" applyBorder="1" applyAlignment="1" applyProtection="1">
      <alignment horizontal="center"/>
      <protection hidden="1"/>
    </xf>
    <xf numFmtId="0" fontId="6" fillId="2" borderId="8" xfId="0" applyFont="1" applyFill="1" applyBorder="1" applyAlignment="1" applyProtection="1">
      <alignment horizontal="center"/>
      <protection hidden="1"/>
    </xf>
    <xf numFmtId="0" fontId="6" fillId="2" borderId="9" xfId="0" applyFont="1" applyFill="1" applyBorder="1" applyAlignment="1" applyProtection="1">
      <alignment horizontal="center"/>
      <protection hidden="1"/>
    </xf>
    <xf numFmtId="165" fontId="6" fillId="2" borderId="10" xfId="0" applyNumberFormat="1" applyFont="1" applyFill="1" applyBorder="1" applyAlignment="1" applyProtection="1">
      <alignment horizontal="center"/>
      <protection hidden="1"/>
    </xf>
    <xf numFmtId="165" fontId="6" fillId="2" borderId="11" xfId="0" applyNumberFormat="1" applyFont="1" applyFill="1" applyBorder="1" applyAlignment="1" applyProtection="1">
      <alignment horizontal="center"/>
      <protection hidden="1"/>
    </xf>
    <xf numFmtId="165" fontId="6" fillId="2" borderId="12" xfId="0" applyNumberFormat="1" applyFont="1" applyFill="1" applyBorder="1" applyAlignment="1" applyProtection="1">
      <alignment horizontal="center"/>
      <protection hidden="1"/>
    </xf>
    <xf numFmtId="165" fontId="6" fillId="2" borderId="13" xfId="0" applyNumberFormat="1" applyFont="1" applyFill="1" applyBorder="1" applyAlignment="1" applyProtection="1">
      <alignment horizontal="center"/>
      <protection hidden="1"/>
    </xf>
    <xf numFmtId="164" fontId="6" fillId="2" borderId="12" xfId="0" applyNumberFormat="1" applyFont="1" applyFill="1" applyBorder="1" applyAlignment="1" applyProtection="1">
      <alignment horizontal="center"/>
      <protection hidden="1"/>
    </xf>
    <xf numFmtId="2" fontId="6" fillId="2" borderId="11" xfId="0" applyNumberFormat="1" applyFont="1" applyFill="1" applyBorder="1" applyAlignment="1" applyProtection="1">
      <alignment horizontal="center"/>
      <protection hidden="1"/>
    </xf>
    <xf numFmtId="2" fontId="6" fillId="2" borderId="12" xfId="0" applyNumberFormat="1" applyFont="1" applyFill="1" applyBorder="1" applyAlignment="1" applyProtection="1">
      <alignment horizontal="center"/>
      <protection hidden="1"/>
    </xf>
    <xf numFmtId="2" fontId="6" fillId="2" borderId="10" xfId="0" applyNumberFormat="1" applyFont="1" applyFill="1" applyBorder="1" applyAlignment="1" applyProtection="1">
      <alignment horizontal="center"/>
      <protection hidden="1"/>
    </xf>
    <xf numFmtId="2" fontId="6" fillId="2" borderId="9" xfId="0" applyNumberFormat="1" applyFont="1" applyFill="1" applyBorder="1" applyAlignment="1" applyProtection="1">
      <alignment horizontal="center"/>
      <protection hidden="1"/>
    </xf>
    <xf numFmtId="2" fontId="6" fillId="2" borderId="14" xfId="0" applyNumberFormat="1" applyFont="1" applyFill="1" applyBorder="1" applyAlignment="1" applyProtection="1">
      <alignment horizontal="center"/>
      <protection hidden="1"/>
    </xf>
    <xf numFmtId="2" fontId="6" fillId="2" borderId="15" xfId="0" applyNumberFormat="1" applyFont="1" applyFill="1" applyBorder="1" applyAlignment="1" applyProtection="1">
      <alignment horizontal="center"/>
      <protection hidden="1"/>
    </xf>
    <xf numFmtId="2" fontId="6" fillId="2" borderId="16" xfId="0" applyNumberFormat="1" applyFont="1" applyFill="1" applyBorder="1" applyAlignment="1" applyProtection="1">
      <alignment horizontal="center"/>
      <protection hidden="1"/>
    </xf>
    <xf numFmtId="2" fontId="6" fillId="2" borderId="17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7" fillId="0" borderId="20" xfId="0" applyFont="1" applyBorder="1" applyAlignment="1" applyProtection="1">
      <alignment horizontal="left"/>
      <protection hidden="1"/>
    </xf>
    <xf numFmtId="168" fontId="0" fillId="0" borderId="0" xfId="0" applyNumberFormat="1" applyBorder="1" applyAlignment="1" applyProtection="1">
      <alignment horizontal="center"/>
      <protection hidden="1"/>
    </xf>
    <xf numFmtId="0" fontId="7" fillId="0" borderId="21" xfId="0" applyFont="1" applyBorder="1" applyAlignment="1" applyProtection="1">
      <alignment horizontal="center"/>
      <protection hidden="1"/>
    </xf>
    <xf numFmtId="0" fontId="7" fillId="0" borderId="18" xfId="0" applyFont="1" applyFill="1" applyBorder="1" applyAlignment="1" applyProtection="1">
      <alignment horizontal="center"/>
      <protection hidden="1"/>
    </xf>
    <xf numFmtId="165" fontId="7" fillId="0" borderId="22" xfId="0" applyNumberFormat="1" applyFont="1" applyFill="1" applyBorder="1" applyAlignment="1" applyProtection="1">
      <alignment horizontal="center"/>
      <protection hidden="1"/>
    </xf>
    <xf numFmtId="165" fontId="7" fillId="0" borderId="23" xfId="0" applyNumberFormat="1" applyFont="1" applyFill="1" applyBorder="1" applyAlignment="1" applyProtection="1">
      <alignment horizontal="center"/>
      <protection hidden="1"/>
    </xf>
    <xf numFmtId="165" fontId="7" fillId="0" borderId="0" xfId="0" applyNumberFormat="1" applyFont="1" applyFill="1" applyBorder="1" applyAlignment="1" applyProtection="1">
      <alignment horizontal="center"/>
      <protection hidden="1"/>
    </xf>
    <xf numFmtId="165" fontId="7" fillId="0" borderId="2" xfId="0" applyNumberFormat="1" applyFont="1" applyFill="1" applyBorder="1" applyAlignment="1" applyProtection="1">
      <alignment horizontal="center"/>
      <protection hidden="1"/>
    </xf>
    <xf numFmtId="2" fontId="7" fillId="0" borderId="0" xfId="0" applyNumberFormat="1" applyFont="1" applyFill="1" applyBorder="1" applyAlignment="1" applyProtection="1">
      <alignment horizontal="right"/>
      <protection hidden="1"/>
    </xf>
    <xf numFmtId="2" fontId="7" fillId="0" borderId="23" xfId="0" applyNumberFormat="1" applyFont="1" applyFill="1" applyBorder="1" applyAlignment="1" applyProtection="1">
      <alignment horizontal="right"/>
      <protection hidden="1"/>
    </xf>
    <xf numFmtId="167" fontId="7" fillId="0" borderId="18" xfId="0" applyNumberFormat="1" applyFont="1" applyFill="1" applyBorder="1" applyAlignment="1" applyProtection="1">
      <alignment horizontal="right"/>
      <protection hidden="1"/>
    </xf>
    <xf numFmtId="167" fontId="7" fillId="0" borderId="23" xfId="0" applyNumberFormat="1" applyFont="1" applyFill="1" applyBorder="1" applyAlignment="1" applyProtection="1">
      <alignment horizontal="right"/>
      <protection hidden="1"/>
    </xf>
    <xf numFmtId="167" fontId="7" fillId="0" borderId="0" xfId="0" applyNumberFormat="1" applyFont="1" applyFill="1" applyBorder="1" applyAlignment="1" applyProtection="1">
      <alignment horizontal="right"/>
      <protection hidden="1"/>
    </xf>
    <xf numFmtId="167" fontId="0" fillId="0" borderId="2" xfId="0" applyNumberFormat="1" applyBorder="1" applyProtection="1">
      <protection hidden="1"/>
    </xf>
    <xf numFmtId="167" fontId="0" fillId="0" borderId="0" xfId="0" applyNumberFormat="1" applyBorder="1" applyProtection="1">
      <protection hidden="1"/>
    </xf>
    <xf numFmtId="167" fontId="0" fillId="0" borderId="23" xfId="0" applyNumberFormat="1" applyBorder="1" applyProtection="1">
      <protection hidden="1"/>
    </xf>
    <xf numFmtId="167" fontId="7" fillId="0" borderId="19" xfId="0" applyNumberFormat="1" applyFont="1" applyFill="1" applyBorder="1" applyAlignment="1" applyProtection="1">
      <alignment horizontal="right"/>
      <protection hidden="1"/>
    </xf>
    <xf numFmtId="2" fontId="7" fillId="0" borderId="18" xfId="0" applyNumberFormat="1" applyFont="1" applyFill="1" applyBorder="1" applyAlignment="1" applyProtection="1">
      <alignment horizontal="right"/>
      <protection hidden="1"/>
    </xf>
    <xf numFmtId="2" fontId="7" fillId="0" borderId="2" xfId="0" applyNumberFormat="1" applyFont="1" applyFill="1" applyBorder="1" applyAlignment="1" applyProtection="1">
      <alignment horizontal="right"/>
      <protection hidden="1"/>
    </xf>
    <xf numFmtId="2" fontId="7" fillId="0" borderId="19" xfId="0" applyNumberFormat="1" applyFont="1" applyFill="1" applyBorder="1" applyAlignment="1" applyProtection="1">
      <alignment horizontal="right"/>
      <protection hidden="1"/>
    </xf>
    <xf numFmtId="0" fontId="0" fillId="0" borderId="18" xfId="0" applyBorder="1" applyAlignment="1" applyProtection="1">
      <alignment horizontal="center"/>
      <protection hidden="1"/>
    </xf>
    <xf numFmtId="165" fontId="0" fillId="0" borderId="23" xfId="0" applyNumberFormat="1" applyBorder="1" applyProtection="1">
      <protection hidden="1"/>
    </xf>
    <xf numFmtId="165" fontId="0" fillId="0" borderId="0" xfId="0" applyNumberFormat="1" applyBorder="1" applyProtection="1">
      <protection hidden="1"/>
    </xf>
    <xf numFmtId="2" fontId="0" fillId="0" borderId="23" xfId="0" applyNumberFormat="1" applyBorder="1" applyProtection="1">
      <protection hidden="1"/>
    </xf>
    <xf numFmtId="2" fontId="0" fillId="0" borderId="0" xfId="0" applyNumberFormat="1" applyBorder="1" applyProtection="1">
      <protection hidden="1"/>
    </xf>
    <xf numFmtId="167" fontId="0" fillId="0" borderId="19" xfId="0" applyNumberFormat="1" applyBorder="1" applyProtection="1">
      <protection hidden="1"/>
    </xf>
    <xf numFmtId="2" fontId="0" fillId="0" borderId="20" xfId="0" applyNumberFormat="1" applyBorder="1" applyProtection="1">
      <protection hidden="1"/>
    </xf>
    <xf numFmtId="2" fontId="0" fillId="0" borderId="21" xfId="0" applyNumberFormat="1" applyBorder="1" applyProtection="1">
      <protection hidden="1"/>
    </xf>
    <xf numFmtId="0" fontId="0" fillId="0" borderId="9" xfId="0" applyBorder="1" applyProtection="1">
      <protection hidden="1"/>
    </xf>
    <xf numFmtId="0" fontId="0" fillId="0" borderId="15" xfId="0" applyBorder="1" applyProtection="1">
      <protection hidden="1"/>
    </xf>
    <xf numFmtId="11" fontId="0" fillId="0" borderId="19" xfId="0" applyNumberFormat="1" applyBorder="1" applyProtection="1">
      <protection hidden="1"/>
    </xf>
    <xf numFmtId="11" fontId="0" fillId="0" borderId="15" xfId="0" applyNumberFormat="1" applyBorder="1" applyProtection="1">
      <protection hidden="1"/>
    </xf>
    <xf numFmtId="0" fontId="0" fillId="0" borderId="24" xfId="0" applyBorder="1" applyAlignment="1" applyProtection="1">
      <alignment horizontal="center"/>
      <protection hidden="1"/>
    </xf>
    <xf numFmtId="165" fontId="0" fillId="0" borderId="25" xfId="0" applyNumberFormat="1" applyBorder="1" applyProtection="1">
      <protection hidden="1"/>
    </xf>
    <xf numFmtId="165" fontId="0" fillId="0" borderId="26" xfId="0" applyNumberFormat="1" applyBorder="1" applyProtection="1">
      <protection hidden="1"/>
    </xf>
    <xf numFmtId="2" fontId="7" fillId="0" borderId="25" xfId="0" applyNumberFormat="1" applyFont="1" applyFill="1" applyBorder="1" applyAlignment="1" applyProtection="1">
      <alignment horizontal="right"/>
      <protection hidden="1"/>
    </xf>
    <xf numFmtId="2" fontId="0" fillId="0" borderId="25" xfId="0" applyNumberFormat="1" applyBorder="1" applyProtection="1">
      <protection hidden="1"/>
    </xf>
    <xf numFmtId="2" fontId="0" fillId="0" borderId="26" xfId="0" applyNumberFormat="1" applyBorder="1" applyProtection="1">
      <protection hidden="1"/>
    </xf>
    <xf numFmtId="167" fontId="7" fillId="0" borderId="24" xfId="0" applyNumberFormat="1" applyFont="1" applyFill="1" applyBorder="1" applyAlignment="1" applyProtection="1">
      <alignment horizontal="right"/>
      <protection hidden="1"/>
    </xf>
    <xf numFmtId="167" fontId="0" fillId="0" borderId="25" xfId="0" applyNumberFormat="1" applyBorder="1" applyProtection="1">
      <protection hidden="1"/>
    </xf>
    <xf numFmtId="167" fontId="0" fillId="0" borderId="26" xfId="0" applyNumberFormat="1" applyBorder="1" applyProtection="1">
      <protection hidden="1"/>
    </xf>
    <xf numFmtId="167" fontId="0" fillId="0" borderId="27" xfId="0" applyNumberFormat="1" applyBorder="1" applyProtection="1">
      <protection hidden="1"/>
    </xf>
    <xf numFmtId="2" fontId="7" fillId="0" borderId="24" xfId="0" applyNumberFormat="1" applyFont="1" applyFill="1" applyBorder="1" applyAlignment="1" applyProtection="1">
      <alignment horizontal="right"/>
      <protection hidden="1"/>
    </xf>
    <xf numFmtId="2" fontId="7" fillId="0" borderId="26" xfId="0" applyNumberFormat="1" applyFont="1" applyFill="1" applyBorder="1" applyAlignment="1" applyProtection="1">
      <alignment horizontal="right"/>
      <protection hidden="1"/>
    </xf>
    <xf numFmtId="2" fontId="7" fillId="0" borderId="27" xfId="0" applyNumberFormat="1" applyFont="1" applyFill="1" applyBorder="1" applyAlignment="1" applyProtection="1">
      <alignment horizontal="right"/>
      <protection hidden="1"/>
    </xf>
    <xf numFmtId="2" fontId="0" fillId="0" borderId="28" xfId="0" applyNumberFormat="1" applyBorder="1" applyProtection="1">
      <protection hidden="1"/>
    </xf>
    <xf numFmtId="2" fontId="0" fillId="0" borderId="29" xfId="0" applyNumberFormat="1" applyBorder="1" applyProtection="1">
      <protection hidden="1"/>
    </xf>
    <xf numFmtId="167" fontId="0" fillId="0" borderId="18" xfId="0" applyNumberFormat="1" applyBorder="1" applyProtection="1">
      <protection hidden="1"/>
    </xf>
    <xf numFmtId="0" fontId="7" fillId="0" borderId="30" xfId="0" applyFont="1" applyBorder="1" applyAlignment="1" applyProtection="1">
      <alignment horizontal="left"/>
      <protection hidden="1"/>
    </xf>
    <xf numFmtId="168" fontId="0" fillId="0" borderId="12" xfId="0" applyNumberForma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alignment horizontal="center"/>
      <protection hidden="1"/>
    </xf>
    <xf numFmtId="11" fontId="0" fillId="0" borderId="0" xfId="0" applyNumberFormat="1" applyProtection="1">
      <protection hidden="1"/>
    </xf>
    <xf numFmtId="0" fontId="6" fillId="2" borderId="6" xfId="0" applyFont="1" applyFill="1" applyBorder="1" applyAlignment="1" applyProtection="1">
      <alignment horizontal="center"/>
      <protection hidden="1"/>
    </xf>
    <xf numFmtId="0" fontId="6" fillId="2" borderId="32" xfId="0" applyFont="1" applyFill="1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169" fontId="0" fillId="0" borderId="0" xfId="0" applyNumberFormat="1" applyBorder="1" applyProtection="1">
      <protection hidden="1"/>
    </xf>
    <xf numFmtId="169" fontId="0" fillId="0" borderId="19" xfId="0" applyNumberFormat="1" applyBorder="1" applyProtection="1">
      <protection hidden="1"/>
    </xf>
    <xf numFmtId="0" fontId="0" fillId="0" borderId="30" xfId="0" applyBorder="1" applyAlignment="1" applyProtection="1">
      <alignment horizontal="center"/>
      <protection hidden="1"/>
    </xf>
    <xf numFmtId="169" fontId="0" fillId="0" borderId="12" xfId="0" applyNumberFormat="1" applyBorder="1" applyProtection="1">
      <protection hidden="1"/>
    </xf>
    <xf numFmtId="169" fontId="0" fillId="0" borderId="15" xfId="0" applyNumberFormat="1" applyBorder="1" applyProtection="1">
      <protection hidden="1"/>
    </xf>
    <xf numFmtId="167" fontId="0" fillId="0" borderId="24" xfId="0" applyNumberFormat="1" applyBorder="1" applyProtection="1">
      <protection hidden="1"/>
    </xf>
    <xf numFmtId="0" fontId="0" fillId="0" borderId="33" xfId="0" applyBorder="1" applyProtection="1">
      <protection hidden="1"/>
    </xf>
    <xf numFmtId="0" fontId="0" fillId="0" borderId="34" xfId="0" applyBorder="1" applyProtection="1">
      <protection hidden="1"/>
    </xf>
    <xf numFmtId="0" fontId="0" fillId="0" borderId="31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165" fontId="0" fillId="0" borderId="14" xfId="0" applyNumberFormat="1" applyBorder="1" applyProtection="1">
      <protection hidden="1"/>
    </xf>
    <xf numFmtId="165" fontId="0" fillId="0" borderId="12" xfId="0" applyNumberFormat="1" applyBorder="1" applyProtection="1">
      <protection hidden="1"/>
    </xf>
    <xf numFmtId="2" fontId="7" fillId="0" borderId="14" xfId="0" applyNumberFormat="1" applyFont="1" applyFill="1" applyBorder="1" applyAlignment="1" applyProtection="1">
      <alignment horizontal="right"/>
      <protection hidden="1"/>
    </xf>
    <xf numFmtId="2" fontId="0" fillId="0" borderId="14" xfId="0" applyNumberFormat="1" applyBorder="1" applyProtection="1">
      <protection hidden="1"/>
    </xf>
    <xf numFmtId="2" fontId="0" fillId="0" borderId="12" xfId="0" applyNumberFormat="1" applyBorder="1" applyProtection="1">
      <protection hidden="1"/>
    </xf>
    <xf numFmtId="167" fontId="0" fillId="0" borderId="9" xfId="0" applyNumberFormat="1" applyBorder="1" applyProtection="1">
      <protection hidden="1"/>
    </xf>
    <xf numFmtId="167" fontId="0" fillId="0" borderId="14" xfId="0" applyNumberFormat="1" applyBorder="1" applyProtection="1">
      <protection hidden="1"/>
    </xf>
    <xf numFmtId="167" fontId="0" fillId="0" borderId="12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2" fontId="7" fillId="0" borderId="9" xfId="0" applyNumberFormat="1" applyFont="1" applyFill="1" applyBorder="1" applyAlignment="1" applyProtection="1">
      <alignment horizontal="right"/>
      <protection hidden="1"/>
    </xf>
    <xf numFmtId="2" fontId="7" fillId="0" borderId="12" xfId="0" applyNumberFormat="1" applyFont="1" applyFill="1" applyBorder="1" applyAlignment="1" applyProtection="1">
      <alignment horizontal="right"/>
      <protection hidden="1"/>
    </xf>
    <xf numFmtId="2" fontId="7" fillId="0" borderId="15" xfId="0" applyNumberFormat="1" applyFont="1" applyFill="1" applyBorder="1" applyAlignment="1" applyProtection="1">
      <alignment horizontal="right"/>
      <protection hidden="1"/>
    </xf>
    <xf numFmtId="2" fontId="0" fillId="0" borderId="30" xfId="0" applyNumberFormat="1" applyBorder="1" applyProtection="1">
      <protection hidden="1"/>
    </xf>
    <xf numFmtId="2" fontId="0" fillId="0" borderId="31" xfId="0" applyNumberForma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6" fillId="2" borderId="35" xfId="0" applyFont="1" applyFill="1" applyBorder="1" applyAlignment="1" applyProtection="1">
      <alignment horizontal="center"/>
      <protection hidden="1"/>
    </xf>
    <xf numFmtId="0" fontId="6" fillId="2" borderId="15" xfId="0" applyFont="1" applyFill="1" applyBorder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166" fontId="0" fillId="0" borderId="18" xfId="0" applyNumberFormat="1" applyBorder="1" applyAlignment="1" applyProtection="1">
      <alignment horizontal="center"/>
      <protection hidden="1"/>
    </xf>
    <xf numFmtId="166" fontId="0" fillId="0" borderId="23" xfId="0" applyNumberFormat="1" applyBorder="1" applyAlignment="1" applyProtection="1">
      <alignment horizontal="center"/>
      <protection hidden="1"/>
    </xf>
    <xf numFmtId="166" fontId="0" fillId="3" borderId="0" xfId="0" applyNumberFormat="1" applyFill="1" applyBorder="1" applyAlignment="1" applyProtection="1">
      <alignment horizontal="center"/>
      <protection hidden="1"/>
    </xf>
    <xf numFmtId="166" fontId="0" fillId="3" borderId="23" xfId="0" applyNumberFormat="1" applyFill="1" applyBorder="1" applyAlignment="1" applyProtection="1">
      <alignment horizontal="center"/>
      <protection hidden="1"/>
    </xf>
    <xf numFmtId="2" fontId="0" fillId="3" borderId="23" xfId="0" applyNumberFormat="1" applyFill="1" applyBorder="1" applyAlignment="1" applyProtection="1">
      <alignment horizontal="center"/>
      <protection hidden="1"/>
    </xf>
    <xf numFmtId="2" fontId="0" fillId="3" borderId="0" xfId="0" applyNumberFormat="1" applyFill="1" applyBorder="1" applyAlignment="1" applyProtection="1">
      <alignment horizontal="center"/>
      <protection hidden="1"/>
    </xf>
    <xf numFmtId="2" fontId="0" fillId="3" borderId="19" xfId="0" applyNumberFormat="1" applyFill="1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6" fillId="2" borderId="2" xfId="0" applyFont="1" applyFill="1" applyBorder="1" applyAlignment="1" applyProtection="1">
      <alignment horizontal="center"/>
      <protection hidden="1"/>
    </xf>
    <xf numFmtId="0" fontId="6" fillId="2" borderId="14" xfId="0" applyFont="1" applyFill="1" applyBorder="1" applyAlignment="1" applyProtection="1">
      <alignment horizontal="center"/>
      <protection hidden="1"/>
    </xf>
    <xf numFmtId="166" fontId="0" fillId="0" borderId="24" xfId="0" applyNumberFormat="1" applyBorder="1" applyAlignment="1" applyProtection="1">
      <alignment horizontal="center"/>
      <protection hidden="1"/>
    </xf>
    <xf numFmtId="166" fontId="0" fillId="0" borderId="25" xfId="0" applyNumberFormat="1" applyBorder="1" applyAlignment="1" applyProtection="1">
      <alignment horizontal="center"/>
      <protection hidden="1"/>
    </xf>
    <xf numFmtId="166" fontId="0" fillId="3" borderId="37" xfId="0" applyNumberFormat="1" applyFill="1" applyBorder="1" applyAlignment="1" applyProtection="1">
      <alignment horizontal="center"/>
      <protection hidden="1"/>
    </xf>
    <xf numFmtId="166" fontId="0" fillId="3" borderId="25" xfId="0" applyNumberFormat="1" applyFill="1" applyBorder="1" applyAlignment="1" applyProtection="1">
      <alignment horizontal="center"/>
      <protection hidden="1"/>
    </xf>
    <xf numFmtId="166" fontId="0" fillId="3" borderId="26" xfId="0" applyNumberFormat="1" applyFill="1" applyBorder="1" applyAlignment="1" applyProtection="1">
      <alignment horizontal="center"/>
      <protection hidden="1"/>
    </xf>
    <xf numFmtId="166" fontId="0" fillId="3" borderId="38" xfId="0" applyNumberFormat="1" applyFill="1" applyBorder="1" applyAlignment="1" applyProtection="1">
      <alignment horizontal="center"/>
      <protection hidden="1"/>
    </xf>
    <xf numFmtId="2" fontId="0" fillId="3" borderId="25" xfId="0" applyNumberFormat="1" applyFill="1" applyBorder="1" applyAlignment="1" applyProtection="1">
      <alignment horizontal="center"/>
      <protection hidden="1"/>
    </xf>
    <xf numFmtId="2" fontId="0" fillId="3" borderId="26" xfId="0" applyNumberFormat="1" applyFill="1" applyBorder="1" applyAlignment="1" applyProtection="1">
      <alignment horizontal="center"/>
      <protection hidden="1"/>
    </xf>
    <xf numFmtId="2" fontId="0" fillId="3" borderId="27" xfId="0" applyNumberFormat="1" applyFill="1" applyBorder="1" applyAlignment="1" applyProtection="1">
      <alignment horizontal="center"/>
      <protection hidden="1"/>
    </xf>
    <xf numFmtId="166" fontId="0" fillId="0" borderId="9" xfId="0" applyNumberFormat="1" applyBorder="1" applyAlignment="1" applyProtection="1">
      <alignment horizontal="center"/>
      <protection hidden="1"/>
    </xf>
    <xf numFmtId="166" fontId="0" fillId="0" borderId="14" xfId="0" applyNumberFormat="1" applyBorder="1" applyAlignment="1" applyProtection="1">
      <alignment horizontal="center"/>
      <protection hidden="1"/>
    </xf>
    <xf numFmtId="166" fontId="0" fillId="3" borderId="10" xfId="0" applyNumberFormat="1" applyFill="1" applyBorder="1" applyAlignment="1" applyProtection="1">
      <alignment horizontal="center"/>
      <protection hidden="1"/>
    </xf>
    <xf numFmtId="166" fontId="0" fillId="3" borderId="14" xfId="0" applyNumberFormat="1" applyFill="1" applyBorder="1" applyAlignment="1" applyProtection="1">
      <alignment horizontal="center"/>
      <protection hidden="1"/>
    </xf>
    <xf numFmtId="166" fontId="0" fillId="3" borderId="12" xfId="0" applyNumberFormat="1" applyFill="1" applyBorder="1" applyAlignment="1" applyProtection="1">
      <alignment horizontal="center"/>
      <protection hidden="1"/>
    </xf>
    <xf numFmtId="166" fontId="0" fillId="3" borderId="39" xfId="0" applyNumberFormat="1" applyFill="1" applyBorder="1" applyAlignment="1" applyProtection="1">
      <alignment horizontal="center"/>
      <protection hidden="1"/>
    </xf>
    <xf numFmtId="2" fontId="0" fillId="3" borderId="14" xfId="0" applyNumberFormat="1" applyFill="1" applyBorder="1" applyAlignment="1" applyProtection="1">
      <alignment horizontal="center"/>
      <protection hidden="1"/>
    </xf>
    <xf numFmtId="2" fontId="0" fillId="3" borderId="39" xfId="0" applyNumberFormat="1" applyFill="1" applyBorder="1" applyAlignment="1" applyProtection="1">
      <alignment horizontal="center"/>
      <protection hidden="1"/>
    </xf>
    <xf numFmtId="2" fontId="0" fillId="3" borderId="12" xfId="0" applyNumberFormat="1" applyFill="1" applyBorder="1" applyAlignment="1" applyProtection="1">
      <alignment horizontal="center"/>
      <protection hidden="1"/>
    </xf>
    <xf numFmtId="2" fontId="0" fillId="3" borderId="15" xfId="0" applyNumberFormat="1" applyFill="1" applyBorder="1" applyAlignment="1" applyProtection="1">
      <alignment horizontal="center"/>
      <protection hidden="1"/>
    </xf>
    <xf numFmtId="165" fontId="6" fillId="2" borderId="2" xfId="0" applyNumberFormat="1" applyFont="1" applyFill="1" applyBorder="1" applyAlignment="1" applyProtection="1">
      <alignment horizontal="center"/>
      <protection hidden="1"/>
    </xf>
    <xf numFmtId="165" fontId="6" fillId="2" borderId="14" xfId="0" applyNumberFormat="1" applyFont="1" applyFill="1" applyBorder="1" applyAlignment="1" applyProtection="1">
      <alignment horizontal="center"/>
      <protection hidden="1"/>
    </xf>
    <xf numFmtId="164" fontId="6" fillId="2" borderId="10" xfId="0" applyNumberFormat="1" applyFont="1" applyFill="1" applyBorder="1" applyAlignment="1" applyProtection="1">
      <alignment horizontal="center"/>
      <protection hidden="1"/>
    </xf>
    <xf numFmtId="164" fontId="6" fillId="2" borderId="11" xfId="0" applyNumberFormat="1" applyFont="1" applyFill="1" applyBorder="1" applyAlignment="1" applyProtection="1">
      <alignment horizontal="center"/>
      <protection hidden="1"/>
    </xf>
    <xf numFmtId="165" fontId="0" fillId="0" borderId="18" xfId="0" applyNumberFormat="1" applyBorder="1" applyAlignment="1" applyProtection="1">
      <alignment horizontal="left"/>
      <protection hidden="1"/>
    </xf>
    <xf numFmtId="165" fontId="0" fillId="0" borderId="23" xfId="0" applyNumberFormat="1" applyBorder="1" applyAlignment="1" applyProtection="1">
      <alignment horizontal="center"/>
      <protection hidden="1"/>
    </xf>
    <xf numFmtId="166" fontId="0" fillId="3" borderId="22" xfId="0" applyNumberFormat="1" applyFill="1" applyBorder="1" applyAlignment="1" applyProtection="1">
      <alignment horizontal="center"/>
      <protection hidden="1"/>
    </xf>
    <xf numFmtId="1" fontId="0" fillId="3" borderId="22" xfId="0" applyNumberFormat="1" applyFill="1" applyBorder="1" applyAlignment="1" applyProtection="1">
      <alignment horizontal="center"/>
      <protection hidden="1"/>
    </xf>
    <xf numFmtId="1" fontId="0" fillId="3" borderId="21" xfId="0" applyNumberFormat="1" applyFill="1" applyBorder="1" applyAlignment="1" applyProtection="1">
      <alignment horizontal="center"/>
      <protection hidden="1"/>
    </xf>
    <xf numFmtId="165" fontId="0" fillId="0" borderId="24" xfId="0" applyNumberFormat="1" applyBorder="1" applyAlignment="1" applyProtection="1">
      <alignment horizontal="left"/>
      <protection hidden="1"/>
    </xf>
    <xf numFmtId="165" fontId="0" fillId="0" borderId="25" xfId="0" applyNumberFormat="1" applyBorder="1" applyAlignment="1" applyProtection="1">
      <alignment horizontal="center"/>
      <protection hidden="1"/>
    </xf>
    <xf numFmtId="1" fontId="0" fillId="3" borderId="37" xfId="0" applyNumberFormat="1" applyFill="1" applyBorder="1" applyAlignment="1" applyProtection="1">
      <alignment horizontal="center"/>
      <protection hidden="1"/>
    </xf>
    <xf numFmtId="1" fontId="0" fillId="3" borderId="29" xfId="0" applyNumberFormat="1" applyFill="1" applyBorder="1" applyAlignment="1" applyProtection="1">
      <alignment horizontal="center"/>
      <protection hidden="1"/>
    </xf>
    <xf numFmtId="0" fontId="0" fillId="0" borderId="26" xfId="0" applyBorder="1" applyProtection="1">
      <protection hidden="1"/>
    </xf>
    <xf numFmtId="0" fontId="0" fillId="0" borderId="18" xfId="0" applyBorder="1" applyAlignment="1" applyProtection="1">
      <alignment horizontal="left"/>
      <protection hidden="1"/>
    </xf>
    <xf numFmtId="0" fontId="0" fillId="0" borderId="0" xfId="0" applyBorder="1" applyProtection="1">
      <protection hidden="1"/>
    </xf>
    <xf numFmtId="0" fontId="0" fillId="0" borderId="24" xfId="0" applyBorder="1" applyAlignment="1" applyProtection="1">
      <alignment horizontal="left"/>
      <protection hidden="1"/>
    </xf>
    <xf numFmtId="0" fontId="0" fillId="0" borderId="9" xfId="0" applyBorder="1" applyAlignment="1" applyProtection="1">
      <alignment horizontal="left"/>
      <protection hidden="1"/>
    </xf>
    <xf numFmtId="0" fontId="0" fillId="0" borderId="12" xfId="0" applyBorder="1" applyProtection="1">
      <protection hidden="1"/>
    </xf>
    <xf numFmtId="165" fontId="0" fillId="0" borderId="14" xfId="0" applyNumberFormat="1" applyBorder="1" applyAlignment="1" applyProtection="1">
      <alignment horizontal="center"/>
      <protection hidden="1"/>
    </xf>
    <xf numFmtId="1" fontId="0" fillId="3" borderId="10" xfId="0" applyNumberFormat="1" applyFill="1" applyBorder="1" applyAlignment="1" applyProtection="1">
      <alignment horizontal="center"/>
      <protection hidden="1"/>
    </xf>
    <xf numFmtId="1" fontId="0" fillId="3" borderId="31" xfId="0" applyNumberFormat="1" applyFill="1" applyBorder="1" applyAlignment="1" applyProtection="1">
      <alignment horizontal="center"/>
      <protection hidden="1"/>
    </xf>
    <xf numFmtId="165" fontId="6" fillId="2" borderId="4" xfId="0" applyNumberFormat="1" applyFont="1" applyFill="1" applyBorder="1" applyAlignment="1" applyProtection="1">
      <alignment horizontal="center"/>
      <protection hidden="1"/>
    </xf>
    <xf numFmtId="165" fontId="6" fillId="2" borderId="32" xfId="0" applyNumberFormat="1" applyFont="1" applyFill="1" applyBorder="1" applyAlignment="1" applyProtection="1">
      <alignment horizontal="center"/>
      <protection hidden="1"/>
    </xf>
    <xf numFmtId="165" fontId="6" fillId="2" borderId="7" xfId="0" applyNumberFormat="1" applyFont="1" applyFill="1" applyBorder="1" applyAlignment="1" applyProtection="1">
      <alignment horizontal="center"/>
      <protection hidden="1"/>
    </xf>
    <xf numFmtId="165" fontId="6" fillId="2" borderId="5" xfId="0" applyNumberFormat="1" applyFont="1" applyFill="1" applyBorder="1" applyAlignment="1" applyProtection="1">
      <alignment horizontal="center"/>
      <protection hidden="1"/>
    </xf>
    <xf numFmtId="165" fontId="0" fillId="0" borderId="18" xfId="0" applyNumberFormat="1" applyBorder="1" applyAlignment="1" applyProtection="1">
      <alignment horizontal="center"/>
      <protection hidden="1"/>
    </xf>
    <xf numFmtId="167" fontId="0" fillId="3" borderId="23" xfId="0" applyNumberFormat="1" applyFill="1" applyBorder="1" applyAlignment="1" applyProtection="1">
      <alignment horizontal="center"/>
      <protection hidden="1"/>
    </xf>
    <xf numFmtId="167" fontId="0" fillId="3" borderId="0" xfId="0" applyNumberFormat="1" applyFill="1" applyBorder="1" applyAlignment="1" applyProtection="1">
      <alignment horizontal="center"/>
      <protection hidden="1"/>
    </xf>
    <xf numFmtId="167" fontId="0" fillId="0" borderId="19" xfId="0" applyNumberFormat="1" applyBorder="1" applyAlignment="1" applyProtection="1">
      <alignment horizontal="center"/>
      <protection hidden="1"/>
    </xf>
    <xf numFmtId="167" fontId="0" fillId="0" borderId="23" xfId="0" applyNumberFormat="1" applyBorder="1" applyAlignment="1" applyProtection="1">
      <alignment horizontal="center"/>
      <protection hidden="1"/>
    </xf>
    <xf numFmtId="167" fontId="0" fillId="0" borderId="0" xfId="0" applyNumberFormat="1" applyBorder="1" applyAlignment="1" applyProtection="1">
      <alignment horizontal="center"/>
      <protection hidden="1"/>
    </xf>
    <xf numFmtId="167" fontId="0" fillId="3" borderId="19" xfId="0" applyNumberFormat="1" applyFill="1" applyBorder="1" applyAlignment="1" applyProtection="1">
      <alignment horizontal="center"/>
      <protection hidden="1"/>
    </xf>
    <xf numFmtId="167" fontId="0" fillId="0" borderId="14" xfId="0" applyNumberFormat="1" applyBorder="1" applyAlignment="1" applyProtection="1">
      <alignment horizontal="center"/>
      <protection hidden="1"/>
    </xf>
    <xf numFmtId="167" fontId="0" fillId="0" borderId="12" xfId="0" applyNumberFormat="1" applyBorder="1" applyAlignment="1" applyProtection="1">
      <alignment horizontal="center"/>
      <protection hidden="1"/>
    </xf>
    <xf numFmtId="167" fontId="0" fillId="3" borderId="15" xfId="0" applyNumberFormat="1" applyFill="1" applyBorder="1" applyAlignment="1" applyProtection="1">
      <alignment horizontal="center"/>
      <protection hidden="1"/>
    </xf>
    <xf numFmtId="0" fontId="0" fillId="4" borderId="40" xfId="0" applyFill="1" applyBorder="1" applyAlignment="1" applyProtection="1">
      <alignment horizontal="center"/>
      <protection locked="0" hidden="1"/>
    </xf>
    <xf numFmtId="0" fontId="0" fillId="4" borderId="15" xfId="0" applyFill="1" applyBorder="1" applyAlignment="1" applyProtection="1">
      <alignment horizontal="center"/>
      <protection locked="0" hidden="1"/>
    </xf>
    <xf numFmtId="166" fontId="7" fillId="4" borderId="19" xfId="0" applyNumberFormat="1" applyFont="1" applyFill="1" applyBorder="1" applyAlignment="1" applyProtection="1">
      <alignment horizontal="center"/>
      <protection locked="0" hidden="1"/>
    </xf>
    <xf numFmtId="166" fontId="0" fillId="4" borderId="19" xfId="0" applyNumberFormat="1" applyFill="1" applyBorder="1" applyAlignment="1" applyProtection="1">
      <alignment horizontal="center"/>
      <protection locked="0" hidden="1"/>
    </xf>
    <xf numFmtId="166" fontId="0" fillId="4" borderId="27" xfId="0" applyNumberFormat="1" applyFill="1" applyBorder="1" applyAlignment="1" applyProtection="1">
      <alignment horizontal="center"/>
      <protection locked="0" hidden="1"/>
    </xf>
    <xf numFmtId="166" fontId="0" fillId="4" borderId="15" xfId="0" applyNumberFormat="1" applyFill="1" applyBorder="1" applyAlignment="1" applyProtection="1">
      <alignment horizontal="center"/>
      <protection locked="0" hidden="1"/>
    </xf>
    <xf numFmtId="2" fontId="0" fillId="0" borderId="38" xfId="0" applyNumberFormat="1" applyBorder="1" applyProtection="1">
      <protection hidden="1"/>
    </xf>
    <xf numFmtId="2" fontId="0" fillId="0" borderId="39" xfId="0" applyNumberFormat="1" applyBorder="1" applyProtection="1">
      <protection hidden="1"/>
    </xf>
    <xf numFmtId="165" fontId="0" fillId="0" borderId="18" xfId="0" applyNumberFormat="1" applyBorder="1" applyProtection="1">
      <protection hidden="1"/>
    </xf>
    <xf numFmtId="0" fontId="17" fillId="0" borderId="45" xfId="1" applyBorder="1"/>
    <xf numFmtId="0" fontId="17" fillId="0" borderId="0" xfId="1"/>
    <xf numFmtId="164" fontId="17" fillId="0" borderId="0" xfId="1" applyNumberFormat="1"/>
    <xf numFmtId="11" fontId="17" fillId="0" borderId="0" xfId="1" applyNumberFormat="1"/>
    <xf numFmtId="166" fontId="7" fillId="4" borderId="23" xfId="2" applyNumberFormat="1" applyFont="1" applyFill="1" applyBorder="1" applyAlignment="1" applyProtection="1">
      <alignment horizontal="center"/>
      <protection locked="0" hidden="1"/>
    </xf>
    <xf numFmtId="0" fontId="10" fillId="0" borderId="46" xfId="1" applyFont="1" applyBorder="1" applyAlignment="1">
      <alignment vertical="center"/>
    </xf>
    <xf numFmtId="0" fontId="11" fillId="0" borderId="47" xfId="1" applyFont="1" applyBorder="1"/>
    <xf numFmtId="0" fontId="11" fillId="0" borderId="48" xfId="1" applyFont="1" applyBorder="1"/>
    <xf numFmtId="0" fontId="12" fillId="0" borderId="46" xfId="1" applyFont="1" applyBorder="1"/>
    <xf numFmtId="0" fontId="12" fillId="0" borderId="47" xfId="1" applyFont="1" applyBorder="1"/>
    <xf numFmtId="0" fontId="17" fillId="0" borderId="47" xfId="1" applyBorder="1"/>
    <xf numFmtId="0" fontId="12" fillId="0" borderId="48" xfId="1" applyFont="1" applyBorder="1"/>
    <xf numFmtId="0" fontId="10" fillId="0" borderId="22" xfId="1" applyFont="1" applyBorder="1" applyAlignment="1">
      <alignment vertical="center"/>
    </xf>
    <xf numFmtId="0" fontId="11" fillId="0" borderId="0" xfId="1" applyFont="1" applyBorder="1"/>
    <xf numFmtId="0" fontId="11" fillId="0" borderId="49" xfId="1" applyFont="1" applyBorder="1"/>
    <xf numFmtId="0" fontId="12" fillId="0" borderId="22" xfId="1" applyFont="1" applyBorder="1"/>
    <xf numFmtId="0" fontId="12" fillId="0" borderId="0" xfId="1" applyFont="1" applyBorder="1"/>
    <xf numFmtId="0" fontId="13" fillId="0" borderId="0" xfId="1" applyFont="1" applyBorder="1" applyAlignment="1">
      <alignment horizontal="center" vertical="center"/>
    </xf>
    <xf numFmtId="0" fontId="12" fillId="0" borderId="49" xfId="1" applyFont="1" applyBorder="1"/>
    <xf numFmtId="0" fontId="14" fillId="0" borderId="0" xfId="1" applyFont="1" applyBorder="1" applyAlignment="1">
      <alignment horizontal="center" vertical="center"/>
    </xf>
    <xf numFmtId="0" fontId="10" fillId="0" borderId="37" xfId="1" applyFont="1" applyBorder="1"/>
    <xf numFmtId="0" fontId="11" fillId="0" borderId="26" xfId="1" applyFont="1" applyBorder="1"/>
    <xf numFmtId="0" fontId="11" fillId="0" borderId="38" xfId="1" applyFont="1" applyBorder="1"/>
    <xf numFmtId="0" fontId="12" fillId="0" borderId="37" xfId="1" applyFont="1" applyBorder="1"/>
    <xf numFmtId="0" fontId="12" fillId="0" borderId="26" xfId="1" applyFont="1" applyBorder="1"/>
    <xf numFmtId="0" fontId="15" fillId="0" borderId="26" xfId="1" applyFont="1" applyBorder="1" applyAlignment="1">
      <alignment horizontal="center"/>
    </xf>
    <xf numFmtId="0" fontId="12" fillId="0" borderId="38" xfId="1" applyFont="1" applyBorder="1"/>
    <xf numFmtId="0" fontId="17" fillId="0" borderId="46" xfId="1" applyBorder="1" applyAlignment="1">
      <alignment horizontal="center"/>
    </xf>
    <xf numFmtId="0" fontId="18" fillId="0" borderId="48" xfId="1" applyFont="1" applyBorder="1" applyAlignment="1">
      <alignment horizontal="right"/>
    </xf>
    <xf numFmtId="0" fontId="17" fillId="0" borderId="50" xfId="1" applyBorder="1"/>
    <xf numFmtId="0" fontId="17" fillId="0" borderId="51" xfId="1" applyBorder="1"/>
    <xf numFmtId="0" fontId="17" fillId="0" borderId="52" xfId="1" applyBorder="1"/>
    <xf numFmtId="0" fontId="17" fillId="0" borderId="46" xfId="1" applyBorder="1"/>
    <xf numFmtId="0" fontId="17" fillId="0" borderId="22" xfId="1" applyBorder="1" applyAlignment="1">
      <alignment horizontal="center"/>
    </xf>
    <xf numFmtId="0" fontId="17" fillId="0" borderId="0" xfId="1" applyBorder="1"/>
    <xf numFmtId="0" fontId="18" fillId="0" borderId="49" xfId="1" applyFont="1" applyBorder="1" applyAlignment="1">
      <alignment horizontal="right"/>
    </xf>
    <xf numFmtId="0" fontId="17" fillId="0" borderId="22" xfId="1" applyBorder="1"/>
    <xf numFmtId="0" fontId="17" fillId="0" borderId="37" xfId="1" applyBorder="1" applyAlignment="1">
      <alignment horizontal="center"/>
    </xf>
    <xf numFmtId="0" fontId="17" fillId="0" borderId="26" xfId="1" applyBorder="1"/>
    <xf numFmtId="0" fontId="18" fillId="0" borderId="38" xfId="1" applyFont="1" applyBorder="1" applyAlignment="1">
      <alignment horizontal="right"/>
    </xf>
    <xf numFmtId="0" fontId="17" fillId="0" borderId="37" xfId="1" applyBorder="1"/>
    <xf numFmtId="0" fontId="19" fillId="0" borderId="38" xfId="1" applyFont="1" applyBorder="1" applyAlignment="1">
      <alignment horizontal="right"/>
    </xf>
    <xf numFmtId="0" fontId="17" fillId="0" borderId="0" xfId="1" applyAlignment="1">
      <alignment horizontal="center"/>
    </xf>
    <xf numFmtId="0" fontId="20" fillId="0" borderId="0" xfId="1" applyFont="1"/>
    <xf numFmtId="0" fontId="20" fillId="0" borderId="0" xfId="1" applyFont="1" applyBorder="1"/>
    <xf numFmtId="0" fontId="18" fillId="0" borderId="1" xfId="1" applyFont="1" applyBorder="1" applyAlignment="1">
      <alignment horizontal="center"/>
    </xf>
    <xf numFmtId="0" fontId="18" fillId="0" borderId="3" xfId="1" applyFont="1" applyBorder="1" applyAlignment="1">
      <alignment horizontal="center"/>
    </xf>
    <xf numFmtId="0" fontId="18" fillId="0" borderId="35" xfId="1" applyFont="1" applyBorder="1" applyAlignment="1">
      <alignment horizontal="center"/>
    </xf>
    <xf numFmtId="0" fontId="18" fillId="0" borderId="9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0" xfId="1" applyFont="1" applyBorder="1" applyAlignment="1">
      <alignment horizontal="center"/>
    </xf>
    <xf numFmtId="0" fontId="18" fillId="0" borderId="6" xfId="1" applyFont="1" applyBorder="1" applyAlignment="1">
      <alignment horizontal="center"/>
    </xf>
    <xf numFmtId="0" fontId="18" fillId="0" borderId="53" xfId="1" applyFont="1" applyBorder="1" applyAlignment="1">
      <alignment horizontal="center"/>
    </xf>
    <xf numFmtId="0" fontId="18" fillId="0" borderId="32" xfId="1" applyFont="1" applyBorder="1" applyAlignment="1">
      <alignment horizontal="center"/>
    </xf>
    <xf numFmtId="0" fontId="18" fillId="0" borderId="8" xfId="1" applyFont="1" applyBorder="1" applyAlignment="1">
      <alignment horizontal="center"/>
    </xf>
    <xf numFmtId="166" fontId="17" fillId="0" borderId="25" xfId="1" applyNumberFormat="1" applyBorder="1"/>
    <xf numFmtId="166" fontId="17" fillId="0" borderId="0" xfId="1" applyNumberFormat="1" applyBorder="1"/>
    <xf numFmtId="0" fontId="21" fillId="0" borderId="0" xfId="1" applyFont="1" applyBorder="1"/>
    <xf numFmtId="0" fontId="17" fillId="0" borderId="0" xfId="1" applyAlignment="1">
      <alignment horizontal="right"/>
    </xf>
    <xf numFmtId="0" fontId="17" fillId="0" borderId="0" xfId="1" applyAlignment="1">
      <alignment horizontal="left"/>
    </xf>
    <xf numFmtId="0" fontId="18" fillId="0" borderId="4" xfId="1" applyFont="1" applyBorder="1"/>
    <xf numFmtId="0" fontId="18" fillId="0" borderId="7" xfId="1" applyFont="1" applyBorder="1" applyAlignment="1">
      <alignment horizontal="center"/>
    </xf>
    <xf numFmtId="0" fontId="18" fillId="0" borderId="5" xfId="1" applyFont="1" applyBorder="1" applyAlignment="1">
      <alignment horizontal="center"/>
    </xf>
    <xf numFmtId="0" fontId="21" fillId="0" borderId="0" xfId="1" applyFont="1"/>
    <xf numFmtId="0" fontId="17" fillId="0" borderId="1" xfId="1" applyBorder="1"/>
    <xf numFmtId="166" fontId="7" fillId="4" borderId="56" xfId="2" applyNumberFormat="1" applyFont="1" applyFill="1" applyBorder="1" applyAlignment="1" applyProtection="1">
      <alignment horizontal="center"/>
      <protection locked="0" hidden="1"/>
    </xf>
    <xf numFmtId="166" fontId="7" fillId="4" borderId="25" xfId="2" applyNumberFormat="1" applyFont="1" applyFill="1" applyBorder="1" applyAlignment="1" applyProtection="1">
      <alignment horizontal="center"/>
      <protection locked="0" hidden="1"/>
    </xf>
    <xf numFmtId="166" fontId="7" fillId="4" borderId="14" xfId="2" applyNumberFormat="1" applyFont="1" applyFill="1" applyBorder="1" applyAlignment="1" applyProtection="1">
      <alignment horizontal="center"/>
      <protection locked="0" hidden="1"/>
    </xf>
    <xf numFmtId="0" fontId="22" fillId="0" borderId="0" xfId="0" applyFont="1" applyAlignment="1" applyProtection="1">
      <alignment horizontal="left"/>
      <protection hidden="1"/>
    </xf>
    <xf numFmtId="0" fontId="23" fillId="0" borderId="0" xfId="0" applyFont="1" applyAlignment="1" applyProtection="1">
      <alignment horizontal="left"/>
      <protection hidden="1"/>
    </xf>
    <xf numFmtId="0" fontId="23" fillId="0" borderId="0" xfId="0" applyFont="1" applyProtection="1">
      <protection hidden="1"/>
    </xf>
    <xf numFmtId="0" fontId="5" fillId="0" borderId="0" xfId="1" applyFont="1"/>
    <xf numFmtId="0" fontId="5" fillId="0" borderId="6" xfId="1" applyFont="1" applyBorder="1"/>
    <xf numFmtId="0" fontId="5" fillId="0" borderId="32" xfId="1" applyFont="1" applyBorder="1"/>
    <xf numFmtId="0" fontId="5" fillId="0" borderId="8" xfId="1" applyFont="1" applyBorder="1"/>
    <xf numFmtId="1" fontId="17" fillId="0" borderId="37" xfId="1" applyNumberFormat="1" applyBorder="1"/>
    <xf numFmtId="166" fontId="17" fillId="0" borderId="26" xfId="1" applyNumberFormat="1" applyBorder="1"/>
    <xf numFmtId="166" fontId="17" fillId="0" borderId="38" xfId="1" applyNumberFormat="1" applyBorder="1"/>
    <xf numFmtId="164" fontId="5" fillId="0" borderId="0" xfId="1" applyNumberFormat="1" applyFont="1"/>
    <xf numFmtId="49" fontId="17" fillId="0" borderId="50" xfId="1" applyNumberFormat="1" applyBorder="1"/>
    <xf numFmtId="0" fontId="17" fillId="0" borderId="0" xfId="1" applyNumberFormat="1"/>
    <xf numFmtId="0" fontId="5" fillId="0" borderId="0" xfId="1" applyNumberFormat="1" applyFont="1"/>
    <xf numFmtId="0" fontId="25" fillId="0" borderId="0" xfId="5" applyFont="1" applyBorder="1" applyAlignment="1">
      <alignment horizontal="center"/>
    </xf>
    <xf numFmtId="0" fontId="0" fillId="0" borderId="0" xfId="0" applyBorder="1" applyAlignment="1">
      <alignment horizontal="center"/>
    </xf>
    <xf numFmtId="49" fontId="17" fillId="0" borderId="0" xfId="1" applyNumberFormat="1" applyBorder="1" applyAlignment="1">
      <alignment horizontal="right"/>
    </xf>
    <xf numFmtId="170" fontId="17" fillId="0" borderId="50" xfId="1" applyNumberFormat="1" applyBorder="1" applyAlignment="1">
      <alignment horizontal="left"/>
    </xf>
    <xf numFmtId="171" fontId="17" fillId="0" borderId="50" xfId="1" applyNumberFormat="1" applyBorder="1" applyAlignment="1">
      <alignment horizontal="left"/>
    </xf>
    <xf numFmtId="11" fontId="17" fillId="0" borderId="50" xfId="1" applyNumberFormat="1" applyBorder="1" applyAlignment="1">
      <alignment horizontal="left"/>
    </xf>
    <xf numFmtId="0" fontId="17" fillId="0" borderId="51" xfId="1" applyBorder="1" applyAlignment="1">
      <alignment horizontal="left"/>
    </xf>
    <xf numFmtId="0" fontId="4" fillId="0" borderId="51" xfId="1" applyFont="1" applyBorder="1" applyAlignment="1">
      <alignment horizontal="left"/>
    </xf>
    <xf numFmtId="0" fontId="3" fillId="0" borderId="50" xfId="1" applyNumberFormat="1" applyFont="1" applyBorder="1" applyAlignment="1">
      <alignment horizontal="left"/>
    </xf>
    <xf numFmtId="0" fontId="17" fillId="0" borderId="50" xfId="1" applyBorder="1" applyAlignment="1">
      <alignment horizontal="left"/>
    </xf>
    <xf numFmtId="0" fontId="26" fillId="0" borderId="37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8" xfId="0" applyBorder="1" applyAlignment="1">
      <alignment horizontal="center"/>
    </xf>
    <xf numFmtId="0" fontId="17" fillId="0" borderId="0" xfId="1" applyAlignment="1">
      <alignment horizontal="center"/>
    </xf>
    <xf numFmtId="1" fontId="17" fillId="0" borderId="50" xfId="1" applyNumberFormat="1" applyBorder="1" applyAlignment="1">
      <alignment horizontal="left"/>
    </xf>
    <xf numFmtId="1" fontId="17" fillId="0" borderId="51" xfId="1" applyNumberFormat="1" applyBorder="1" applyAlignment="1">
      <alignment horizontal="left"/>
    </xf>
    <xf numFmtId="0" fontId="5" fillId="0" borderId="50" xfId="1" applyFont="1" applyBorder="1" applyAlignment="1">
      <alignment horizontal="left"/>
    </xf>
    <xf numFmtId="0" fontId="5" fillId="0" borderId="51" xfId="1" applyFont="1" applyBorder="1" applyAlignment="1">
      <alignment horizontal="left"/>
    </xf>
    <xf numFmtId="164" fontId="6" fillId="2" borderId="41" xfId="0" applyNumberFormat="1" applyFont="1" applyFill="1" applyBorder="1" applyAlignment="1" applyProtection="1">
      <alignment horizontal="center"/>
      <protection hidden="1"/>
    </xf>
    <xf numFmtId="164" fontId="6" fillId="2" borderId="42" xfId="0" applyNumberFormat="1" applyFont="1" applyFill="1" applyBorder="1" applyAlignment="1" applyProtection="1">
      <alignment horizontal="center"/>
      <protection hidden="1"/>
    </xf>
    <xf numFmtId="164" fontId="6" fillId="2" borderId="40" xfId="0" applyNumberFormat="1" applyFont="1" applyFill="1" applyBorder="1" applyAlignment="1" applyProtection="1">
      <alignment horizontal="center"/>
      <protection hidden="1"/>
    </xf>
    <xf numFmtId="0" fontId="6" fillId="2" borderId="1" xfId="0" applyFont="1" applyFill="1" applyBorder="1" applyAlignment="1" applyProtection="1">
      <alignment horizontal="center"/>
      <protection hidden="1"/>
    </xf>
    <xf numFmtId="0" fontId="6" fillId="2" borderId="35" xfId="0" applyFont="1" applyFill="1" applyBorder="1" applyAlignment="1" applyProtection="1">
      <alignment horizontal="center"/>
      <protection hidden="1"/>
    </xf>
    <xf numFmtId="0" fontId="6" fillId="2" borderId="9" xfId="0" applyFont="1" applyFill="1" applyBorder="1" applyAlignment="1" applyProtection="1">
      <alignment horizontal="center"/>
      <protection hidden="1"/>
    </xf>
    <xf numFmtId="0" fontId="6" fillId="2" borderId="15" xfId="0" applyFont="1" applyFill="1" applyBorder="1" applyAlignment="1" applyProtection="1">
      <alignment horizontal="center"/>
      <protection hidden="1"/>
    </xf>
    <xf numFmtId="165" fontId="6" fillId="2" borderId="1" xfId="0" applyNumberFormat="1" applyFont="1" applyFill="1" applyBorder="1" applyAlignment="1" applyProtection="1">
      <alignment horizontal="center"/>
      <protection hidden="1"/>
    </xf>
    <xf numFmtId="165" fontId="6" fillId="2" borderId="44" xfId="0" applyNumberFormat="1" applyFont="1" applyFill="1" applyBorder="1" applyAlignment="1" applyProtection="1">
      <alignment horizontal="center"/>
      <protection hidden="1"/>
    </xf>
    <xf numFmtId="165" fontId="16" fillId="0" borderId="1" xfId="0" applyNumberFormat="1" applyFont="1" applyBorder="1" applyAlignment="1" applyProtection="1">
      <alignment horizontal="center" vertical="center"/>
      <protection hidden="1"/>
    </xf>
    <xf numFmtId="165" fontId="16" fillId="0" borderId="3" xfId="0" applyNumberFormat="1" applyFont="1" applyBorder="1" applyAlignment="1" applyProtection="1">
      <alignment horizontal="center" vertical="center"/>
      <protection hidden="1"/>
    </xf>
    <xf numFmtId="165" fontId="16" fillId="0" borderId="35" xfId="0" applyNumberFormat="1" applyFont="1" applyBorder="1" applyAlignment="1" applyProtection="1">
      <alignment horizontal="center" vertical="center"/>
      <protection hidden="1"/>
    </xf>
    <xf numFmtId="165" fontId="16" fillId="0" borderId="9" xfId="0" applyNumberFormat="1" applyFont="1" applyBorder="1" applyAlignment="1" applyProtection="1">
      <alignment horizontal="center" vertical="center"/>
      <protection hidden="1"/>
    </xf>
    <xf numFmtId="165" fontId="16" fillId="0" borderId="12" xfId="0" applyNumberFormat="1" applyFont="1" applyBorder="1" applyAlignment="1" applyProtection="1">
      <alignment horizontal="center" vertical="center"/>
      <protection hidden="1"/>
    </xf>
    <xf numFmtId="165" fontId="16" fillId="0" borderId="15" xfId="0" applyNumberFormat="1" applyFont="1" applyBorder="1" applyAlignment="1" applyProtection="1">
      <alignment horizontal="center" vertical="center"/>
      <protection hidden="1"/>
    </xf>
    <xf numFmtId="165" fontId="16" fillId="5" borderId="54" xfId="0" applyNumberFormat="1" applyFont="1" applyFill="1" applyBorder="1" applyAlignment="1" applyProtection="1">
      <alignment horizontal="center" vertical="center"/>
      <protection locked="0"/>
    </xf>
    <xf numFmtId="165" fontId="16" fillId="5" borderId="55" xfId="0" applyNumberFormat="1" applyFont="1" applyFill="1" applyBorder="1" applyAlignment="1" applyProtection="1">
      <alignment horizontal="center" vertical="center"/>
      <protection locked="0"/>
    </xf>
    <xf numFmtId="165" fontId="6" fillId="2" borderId="9" xfId="0" applyNumberFormat="1" applyFont="1" applyFill="1" applyBorder="1" applyAlignment="1" applyProtection="1">
      <alignment horizontal="center"/>
      <protection hidden="1"/>
    </xf>
    <xf numFmtId="165" fontId="6" fillId="2" borderId="39" xfId="0" applyNumberFormat="1" applyFont="1" applyFill="1" applyBorder="1" applyAlignment="1" applyProtection="1">
      <alignment horizontal="center"/>
      <protection hidden="1"/>
    </xf>
    <xf numFmtId="165" fontId="6" fillId="2" borderId="41" xfId="0" applyNumberFormat="1" applyFont="1" applyFill="1" applyBorder="1" applyAlignment="1" applyProtection="1">
      <alignment horizontal="center"/>
      <protection hidden="1"/>
    </xf>
    <xf numFmtId="165" fontId="6" fillId="2" borderId="42" xfId="0" applyNumberFormat="1" applyFont="1" applyFill="1" applyBorder="1" applyAlignment="1" applyProtection="1">
      <alignment horizontal="center"/>
      <protection hidden="1"/>
    </xf>
    <xf numFmtId="165" fontId="6" fillId="2" borderId="43" xfId="0" applyNumberFormat="1" applyFont="1" applyFill="1" applyBorder="1" applyAlignment="1" applyProtection="1">
      <alignment horizontal="center"/>
      <protection hidden="1"/>
    </xf>
    <xf numFmtId="2" fontId="6" fillId="2" borderId="41" xfId="0" applyNumberFormat="1" applyFont="1" applyFill="1" applyBorder="1" applyAlignment="1" applyProtection="1">
      <alignment horizontal="center"/>
      <protection hidden="1"/>
    </xf>
    <xf numFmtId="2" fontId="6" fillId="2" borderId="42" xfId="0" applyNumberFormat="1" applyFont="1" applyFill="1" applyBorder="1" applyAlignment="1" applyProtection="1">
      <alignment horizontal="center"/>
      <protection hidden="1"/>
    </xf>
    <xf numFmtId="0" fontId="6" fillId="2" borderId="7" xfId="0" applyFont="1" applyFill="1" applyBorder="1" applyAlignment="1" applyProtection="1">
      <alignment horizontal="center"/>
      <protection hidden="1"/>
    </xf>
    <xf numFmtId="2" fontId="6" fillId="2" borderId="33" xfId="0" applyNumberFormat="1" applyFont="1" applyFill="1" applyBorder="1" applyAlignment="1" applyProtection="1">
      <alignment horizontal="center"/>
      <protection hidden="1"/>
    </xf>
    <xf numFmtId="2" fontId="6" fillId="2" borderId="40" xfId="0" applyNumberFormat="1" applyFont="1" applyFill="1" applyBorder="1" applyAlignment="1" applyProtection="1">
      <alignment horizontal="center"/>
      <protection hidden="1"/>
    </xf>
    <xf numFmtId="164" fontId="6" fillId="2" borderId="43" xfId="0" applyNumberFormat="1" applyFont="1" applyFill="1" applyBorder="1" applyAlignment="1" applyProtection="1">
      <alignment horizontal="center"/>
      <protection hidden="1"/>
    </xf>
    <xf numFmtId="0" fontId="6" fillId="2" borderId="4" xfId="0" applyFont="1" applyFill="1" applyBorder="1" applyAlignment="1" applyProtection="1">
      <alignment horizontal="center"/>
      <protection hidden="1"/>
    </xf>
    <xf numFmtId="0" fontId="6" fillId="2" borderId="5" xfId="0" applyFont="1" applyFill="1" applyBorder="1" applyAlignment="1" applyProtection="1">
      <alignment horizontal="center"/>
      <protection hidden="1"/>
    </xf>
    <xf numFmtId="0" fontId="1" fillId="0" borderId="0" xfId="1" applyNumberFormat="1" applyFont="1"/>
    <xf numFmtId="0" fontId="1" fillId="0" borderId="0" xfId="1" applyFont="1"/>
    <xf numFmtId="11" fontId="27" fillId="0" borderId="50" xfId="1" applyNumberFormat="1" applyFont="1" applyBorder="1" applyAlignment="1">
      <alignment horizontal="left"/>
    </xf>
  </cellXfs>
  <cellStyles count="6">
    <cellStyle name="Normal" xfId="0" builtinId="0"/>
    <cellStyle name="Normal 2" xfId="1" xr:uid="{00000000-0005-0000-0000-000001000000}"/>
    <cellStyle name="Normal 2 2" xfId="2" xr:uid="{00000000-0005-0000-0000-000002000000}"/>
    <cellStyle name="Normal 2 3" xfId="4" xr:uid="{00000000-0005-0000-0000-000003000000}"/>
    <cellStyle name="Normal 2 4" xfId="5" xr:uid="{00000000-0005-0000-0000-000004000000}"/>
    <cellStyle name="Normal 2 5" xfId="3" xr:uid="{00000000-0005-0000-0000-000005000000}"/>
  </cellStyles>
  <dxfs count="7"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en-US" sz="2800"/>
              <a:t>Spectral Profile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gradFill flip="none" rotWithShape="1">
                <a:gsLst>
                  <a:gs pos="9000">
                    <a:srgbClr val="F619FB"/>
                  </a:gs>
                  <a:gs pos="26000">
                    <a:srgbClr val="0819FB"/>
                  </a:gs>
                  <a:gs pos="37000">
                    <a:srgbClr val="00B050"/>
                  </a:gs>
                  <a:gs pos="48000">
                    <a:srgbClr val="FFFF00"/>
                  </a:gs>
                  <a:gs pos="57000">
                    <a:srgbClr val="FFC000"/>
                  </a:gs>
                  <a:gs pos="67000">
                    <a:srgbClr val="FF0000"/>
                  </a:gs>
                  <a:gs pos="82000">
                    <a:srgbClr val="C00000"/>
                  </a:gs>
                </a:gsLst>
                <a:lin ang="0" scaled="1"/>
                <a:tileRect/>
              </a:gradFill>
            </a:ln>
          </c:spPr>
          <c:marker>
            <c:symbol val="none"/>
          </c:marker>
          <c:xVal>
            <c:numRef>
              <c:f>'Color Conversion'!$B$17:$B$115</c:f>
              <c:numCache>
                <c:formatCode>General</c:formatCode>
                <c:ptCount val="99"/>
                <c:pt idx="0">
                  <c:v>340</c:v>
                </c:pt>
                <c:pt idx="1">
                  <c:v>345</c:v>
                </c:pt>
                <c:pt idx="2">
                  <c:v>350</c:v>
                </c:pt>
                <c:pt idx="3">
                  <c:v>355</c:v>
                </c:pt>
                <c:pt idx="4">
                  <c:v>360</c:v>
                </c:pt>
                <c:pt idx="5">
                  <c:v>365</c:v>
                </c:pt>
                <c:pt idx="6">
                  <c:v>370</c:v>
                </c:pt>
                <c:pt idx="7">
                  <c:v>375</c:v>
                </c:pt>
                <c:pt idx="8">
                  <c:v>380</c:v>
                </c:pt>
                <c:pt idx="9">
                  <c:v>385</c:v>
                </c:pt>
                <c:pt idx="10">
                  <c:v>390</c:v>
                </c:pt>
                <c:pt idx="11">
                  <c:v>395</c:v>
                </c:pt>
                <c:pt idx="12">
                  <c:v>400</c:v>
                </c:pt>
                <c:pt idx="13">
                  <c:v>405</c:v>
                </c:pt>
                <c:pt idx="14">
                  <c:v>410</c:v>
                </c:pt>
                <c:pt idx="15">
                  <c:v>415</c:v>
                </c:pt>
                <c:pt idx="16">
                  <c:v>420</c:v>
                </c:pt>
                <c:pt idx="17">
                  <c:v>425</c:v>
                </c:pt>
                <c:pt idx="18">
                  <c:v>430</c:v>
                </c:pt>
                <c:pt idx="19">
                  <c:v>435</c:v>
                </c:pt>
                <c:pt idx="20">
                  <c:v>440</c:v>
                </c:pt>
                <c:pt idx="21">
                  <c:v>445</c:v>
                </c:pt>
                <c:pt idx="22">
                  <c:v>450</c:v>
                </c:pt>
                <c:pt idx="23">
                  <c:v>455</c:v>
                </c:pt>
                <c:pt idx="24">
                  <c:v>460</c:v>
                </c:pt>
                <c:pt idx="25">
                  <c:v>465</c:v>
                </c:pt>
                <c:pt idx="26">
                  <c:v>470</c:v>
                </c:pt>
                <c:pt idx="27">
                  <c:v>475</c:v>
                </c:pt>
                <c:pt idx="28">
                  <c:v>480</c:v>
                </c:pt>
                <c:pt idx="29">
                  <c:v>485</c:v>
                </c:pt>
                <c:pt idx="30">
                  <c:v>490</c:v>
                </c:pt>
                <c:pt idx="31">
                  <c:v>495</c:v>
                </c:pt>
                <c:pt idx="32">
                  <c:v>500</c:v>
                </c:pt>
                <c:pt idx="33">
                  <c:v>505</c:v>
                </c:pt>
                <c:pt idx="34">
                  <c:v>510</c:v>
                </c:pt>
                <c:pt idx="35">
                  <c:v>515</c:v>
                </c:pt>
                <c:pt idx="36">
                  <c:v>520</c:v>
                </c:pt>
                <c:pt idx="37">
                  <c:v>525</c:v>
                </c:pt>
                <c:pt idx="38">
                  <c:v>530</c:v>
                </c:pt>
                <c:pt idx="39">
                  <c:v>535</c:v>
                </c:pt>
                <c:pt idx="40">
                  <c:v>540</c:v>
                </c:pt>
                <c:pt idx="41">
                  <c:v>545</c:v>
                </c:pt>
                <c:pt idx="42">
                  <c:v>550</c:v>
                </c:pt>
                <c:pt idx="43">
                  <c:v>555</c:v>
                </c:pt>
                <c:pt idx="44">
                  <c:v>560</c:v>
                </c:pt>
                <c:pt idx="45">
                  <c:v>565</c:v>
                </c:pt>
                <c:pt idx="46">
                  <c:v>570</c:v>
                </c:pt>
                <c:pt idx="47">
                  <c:v>575</c:v>
                </c:pt>
                <c:pt idx="48">
                  <c:v>580</c:v>
                </c:pt>
                <c:pt idx="49">
                  <c:v>585</c:v>
                </c:pt>
                <c:pt idx="50">
                  <c:v>590</c:v>
                </c:pt>
                <c:pt idx="51">
                  <c:v>595</c:v>
                </c:pt>
                <c:pt idx="52">
                  <c:v>600</c:v>
                </c:pt>
                <c:pt idx="53">
                  <c:v>605</c:v>
                </c:pt>
                <c:pt idx="54">
                  <c:v>610</c:v>
                </c:pt>
                <c:pt idx="55">
                  <c:v>615</c:v>
                </c:pt>
                <c:pt idx="56">
                  <c:v>620</c:v>
                </c:pt>
                <c:pt idx="57">
                  <c:v>625</c:v>
                </c:pt>
                <c:pt idx="58">
                  <c:v>630</c:v>
                </c:pt>
                <c:pt idx="59">
                  <c:v>635</c:v>
                </c:pt>
                <c:pt idx="60">
                  <c:v>640</c:v>
                </c:pt>
                <c:pt idx="61">
                  <c:v>645</c:v>
                </c:pt>
                <c:pt idx="62">
                  <c:v>650</c:v>
                </c:pt>
                <c:pt idx="63">
                  <c:v>655</c:v>
                </c:pt>
                <c:pt idx="64">
                  <c:v>660</c:v>
                </c:pt>
                <c:pt idx="65">
                  <c:v>665</c:v>
                </c:pt>
                <c:pt idx="66">
                  <c:v>670</c:v>
                </c:pt>
                <c:pt idx="67">
                  <c:v>675</c:v>
                </c:pt>
                <c:pt idx="68">
                  <c:v>680</c:v>
                </c:pt>
                <c:pt idx="69">
                  <c:v>685</c:v>
                </c:pt>
                <c:pt idx="70">
                  <c:v>690</c:v>
                </c:pt>
                <c:pt idx="71">
                  <c:v>695</c:v>
                </c:pt>
                <c:pt idx="72">
                  <c:v>700</c:v>
                </c:pt>
                <c:pt idx="73">
                  <c:v>705</c:v>
                </c:pt>
                <c:pt idx="74">
                  <c:v>710</c:v>
                </c:pt>
                <c:pt idx="75">
                  <c:v>715</c:v>
                </c:pt>
                <c:pt idx="76">
                  <c:v>720</c:v>
                </c:pt>
                <c:pt idx="77">
                  <c:v>725</c:v>
                </c:pt>
                <c:pt idx="78">
                  <c:v>730</c:v>
                </c:pt>
                <c:pt idx="79">
                  <c:v>735</c:v>
                </c:pt>
                <c:pt idx="80">
                  <c:v>740</c:v>
                </c:pt>
                <c:pt idx="81">
                  <c:v>745</c:v>
                </c:pt>
                <c:pt idx="82">
                  <c:v>750</c:v>
                </c:pt>
                <c:pt idx="83">
                  <c:v>755</c:v>
                </c:pt>
                <c:pt idx="84">
                  <c:v>760</c:v>
                </c:pt>
                <c:pt idx="85">
                  <c:v>765</c:v>
                </c:pt>
                <c:pt idx="86">
                  <c:v>770</c:v>
                </c:pt>
                <c:pt idx="87">
                  <c:v>775</c:v>
                </c:pt>
                <c:pt idx="88">
                  <c:v>780</c:v>
                </c:pt>
                <c:pt idx="89">
                  <c:v>785</c:v>
                </c:pt>
                <c:pt idx="90">
                  <c:v>790</c:v>
                </c:pt>
                <c:pt idx="91">
                  <c:v>795</c:v>
                </c:pt>
                <c:pt idx="92">
                  <c:v>800</c:v>
                </c:pt>
                <c:pt idx="93">
                  <c:v>805</c:v>
                </c:pt>
                <c:pt idx="94">
                  <c:v>810</c:v>
                </c:pt>
                <c:pt idx="95">
                  <c:v>815</c:v>
                </c:pt>
                <c:pt idx="96">
                  <c:v>820</c:v>
                </c:pt>
                <c:pt idx="97">
                  <c:v>825</c:v>
                </c:pt>
                <c:pt idx="98">
                  <c:v>830</c:v>
                </c:pt>
              </c:numCache>
            </c:numRef>
          </c:xVal>
          <c:yVal>
            <c:numRef>
              <c:f>'Color Conversion'!$C$17:$C$115</c:f>
              <c:numCache>
                <c:formatCode>0.0000</c:formatCode>
                <c:ptCount val="99"/>
                <c:pt idx="0">
                  <c:v>-1.8814399150799899E-5</c:v>
                </c:pt>
                <c:pt idx="1">
                  <c:v>-7.5453756310533295E-5</c:v>
                </c:pt>
                <c:pt idx="2">
                  <c:v>2.0255403407066599E-4</c:v>
                </c:pt>
                <c:pt idx="3">
                  <c:v>-1.09610000789999E-4</c:v>
                </c:pt>
                <c:pt idx="4">
                  <c:v>5.3196615858666598E-5</c:v>
                </c:pt>
                <c:pt idx="5">
                  <c:v>-6.6301081353939902E-5</c:v>
                </c:pt>
                <c:pt idx="6">
                  <c:v>9.3895906275333297E-5</c:v>
                </c:pt>
                <c:pt idx="7">
                  <c:v>-1.43972247085066E-4</c:v>
                </c:pt>
                <c:pt idx="8">
                  <c:v>3.4437642526999898E-4</c:v>
                </c:pt>
                <c:pt idx="9">
                  <c:v>4.8889030112266604E-4</c:v>
                </c:pt>
                <c:pt idx="10">
                  <c:v>3.1810782801200001E-3</c:v>
                </c:pt>
                <c:pt idx="11">
                  <c:v>3.1106112956666598E-2</c:v>
                </c:pt>
                <c:pt idx="12">
                  <c:v>0.14739572206066601</c:v>
                </c:pt>
                <c:pt idx="13">
                  <c:v>0.33016097259333299</c:v>
                </c:pt>
                <c:pt idx="14">
                  <c:v>0.46969987488666598</c:v>
                </c:pt>
                <c:pt idx="15">
                  <c:v>0.54320302074666604</c:v>
                </c:pt>
                <c:pt idx="16">
                  <c:v>0.57716709391333298</c:v>
                </c:pt>
                <c:pt idx="17">
                  <c:v>0.594719884246666</c:v>
                </c:pt>
                <c:pt idx="18">
                  <c:v>0.605756050106666</c:v>
                </c:pt>
                <c:pt idx="19">
                  <c:v>0.61441666667999995</c:v>
                </c:pt>
                <c:pt idx="20">
                  <c:v>0.62329709878666595</c:v>
                </c:pt>
                <c:pt idx="21">
                  <c:v>0.63251224771333303</c:v>
                </c:pt>
                <c:pt idx="22">
                  <c:v>0.64343820189333301</c:v>
                </c:pt>
                <c:pt idx="23">
                  <c:v>0.65461263020000005</c:v>
                </c:pt>
                <c:pt idx="24">
                  <c:v>0.66439298501999999</c:v>
                </c:pt>
                <c:pt idx="25">
                  <c:v>0.67386260988000002</c:v>
                </c:pt>
                <c:pt idx="26">
                  <c:v>0.68189859008666598</c:v>
                </c:pt>
                <c:pt idx="27">
                  <c:v>0.68873086039999998</c:v>
                </c:pt>
                <c:pt idx="28">
                  <c:v>0.694493347159999</c:v>
                </c:pt>
                <c:pt idx="29">
                  <c:v>0.69764160665333297</c:v>
                </c:pt>
                <c:pt idx="30">
                  <c:v>0.69784424335999895</c:v>
                </c:pt>
                <c:pt idx="31">
                  <c:v>0.69609155781999899</c:v>
                </c:pt>
                <c:pt idx="32">
                  <c:v>0.69316051227999997</c:v>
                </c:pt>
                <c:pt idx="33">
                  <c:v>0.68986321005999895</c:v>
                </c:pt>
                <c:pt idx="34">
                  <c:v>0.68656285094000002</c:v>
                </c:pt>
                <c:pt idx="35">
                  <c:v>0.68237474568666601</c:v>
                </c:pt>
                <c:pt idx="36">
                  <c:v>0.67555086263333297</c:v>
                </c:pt>
                <c:pt idx="37">
                  <c:v>0.66645804341333303</c:v>
                </c:pt>
                <c:pt idx="38">
                  <c:v>0.65635281880666596</c:v>
                </c:pt>
                <c:pt idx="39">
                  <c:v>0.64575108844666596</c:v>
                </c:pt>
                <c:pt idx="40">
                  <c:v>0.63825910187333301</c:v>
                </c:pt>
                <c:pt idx="41">
                  <c:v>0.63456210836666604</c:v>
                </c:pt>
                <c:pt idx="42">
                  <c:v>0.63407113646666602</c:v>
                </c:pt>
                <c:pt idx="43">
                  <c:v>0.63559657032666605</c:v>
                </c:pt>
                <c:pt idx="44">
                  <c:v>0.636739369706666</c:v>
                </c:pt>
                <c:pt idx="45">
                  <c:v>0.63719895426666595</c:v>
                </c:pt>
                <c:pt idx="46">
                  <c:v>0.63592142232666604</c:v>
                </c:pt>
                <c:pt idx="47">
                  <c:v>0.63501386260666604</c:v>
                </c:pt>
                <c:pt idx="48">
                  <c:v>0.63447957101333297</c:v>
                </c:pt>
                <c:pt idx="49">
                  <c:v>0.63646278888666596</c:v>
                </c:pt>
                <c:pt idx="50">
                  <c:v>0.64175509897333305</c:v>
                </c:pt>
                <c:pt idx="51">
                  <c:v>0.64773892211999995</c:v>
                </c:pt>
                <c:pt idx="52">
                  <c:v>0.65266474914666595</c:v>
                </c:pt>
                <c:pt idx="53">
                  <c:v>0.65342301942000003</c:v>
                </c:pt>
                <c:pt idx="54">
                  <c:v>0.64823866779999995</c:v>
                </c:pt>
                <c:pt idx="55">
                  <c:v>0.63935016631333297</c:v>
                </c:pt>
                <c:pt idx="56">
                  <c:v>0.62794167073999896</c:v>
                </c:pt>
                <c:pt idx="57">
                  <c:v>0.61518297574666603</c:v>
                </c:pt>
                <c:pt idx="58">
                  <c:v>0.60487728373333305</c:v>
                </c:pt>
                <c:pt idx="59">
                  <c:v>0.59795907337999898</c:v>
                </c:pt>
                <c:pt idx="60">
                  <c:v>0.59810433198000001</c:v>
                </c:pt>
                <c:pt idx="61">
                  <c:v>0.60387687174000004</c:v>
                </c:pt>
                <c:pt idx="62">
                  <c:v>0.61434681193333296</c:v>
                </c:pt>
                <c:pt idx="63">
                  <c:v>0.62606697082666596</c:v>
                </c:pt>
                <c:pt idx="64">
                  <c:v>0.63662311807999905</c:v>
                </c:pt>
                <c:pt idx="65">
                  <c:v>0.64551574199333295</c:v>
                </c:pt>
                <c:pt idx="66">
                  <c:v>0.65406703186666604</c:v>
                </c:pt>
                <c:pt idx="67">
                  <c:v>0.66249126688666604</c:v>
                </c:pt>
                <c:pt idx="68">
                  <c:v>0.67055552674666596</c:v>
                </c:pt>
                <c:pt idx="69">
                  <c:v>0.67959486389999901</c:v>
                </c:pt>
                <c:pt idx="70">
                  <c:v>0.68957404581333304</c:v>
                </c:pt>
                <c:pt idx="71">
                  <c:v>0.69937444051999997</c:v>
                </c:pt>
                <c:pt idx="72">
                  <c:v>0.71014990742666595</c:v>
                </c:pt>
                <c:pt idx="73">
                  <c:v>0.72224871317333295</c:v>
                </c:pt>
                <c:pt idx="74">
                  <c:v>0.73482508850666595</c:v>
                </c:pt>
                <c:pt idx="75">
                  <c:v>0.74619039408666599</c:v>
                </c:pt>
                <c:pt idx="76">
                  <c:v>0.75906469725999903</c:v>
                </c:pt>
                <c:pt idx="77">
                  <c:v>0.77165055338666599</c:v>
                </c:pt>
                <c:pt idx="78">
                  <c:v>0.78419855752666601</c:v>
                </c:pt>
                <c:pt idx="79">
                  <c:v>0.79558898417333301</c:v>
                </c:pt>
                <c:pt idx="80">
                  <c:v>0.80604437256666595</c:v>
                </c:pt>
                <c:pt idx="81">
                  <c:v>0.81763500467333305</c:v>
                </c:pt>
                <c:pt idx="82">
                  <c:v>0.82779908752666598</c:v>
                </c:pt>
                <c:pt idx="83">
                  <c:v>0.83730581155333295</c:v>
                </c:pt>
                <c:pt idx="84">
                  <c:v>0.845790827426666</c:v>
                </c:pt>
                <c:pt idx="85">
                  <c:v>0.85290358480666595</c:v>
                </c:pt>
                <c:pt idx="86">
                  <c:v>0.85958912658666597</c:v>
                </c:pt>
                <c:pt idx="87">
                  <c:v>0.86523435465333298</c:v>
                </c:pt>
                <c:pt idx="88">
                  <c:v>0.86994735717999905</c:v>
                </c:pt>
                <c:pt idx="89">
                  <c:v>0.876294830326666</c:v>
                </c:pt>
                <c:pt idx="90">
                  <c:v>0.88051632690666604</c:v>
                </c:pt>
                <c:pt idx="91">
                  <c:v>0.88374048360666602</c:v>
                </c:pt>
                <c:pt idx="92">
                  <c:v>0.88700676981333304</c:v>
                </c:pt>
                <c:pt idx="93">
                  <c:v>0.89019478862666601</c:v>
                </c:pt>
                <c:pt idx="94">
                  <c:v>0.89172747803333297</c:v>
                </c:pt>
                <c:pt idx="95">
                  <c:v>0.89384432983333295</c:v>
                </c:pt>
                <c:pt idx="96">
                  <c:v>0.89566016641999902</c:v>
                </c:pt>
                <c:pt idx="97">
                  <c:v>0.89755051675999897</c:v>
                </c:pt>
                <c:pt idx="98">
                  <c:v>0.89961811320666596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2-4359-9A0D-7D792BE6A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56224"/>
        <c:axId val="156756800"/>
      </c:scatterChart>
      <c:valAx>
        <c:axId val="156756224"/>
        <c:scaling>
          <c:orientation val="minMax"/>
          <c:max val="85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756800"/>
        <c:crossesAt val="0"/>
        <c:crossBetween val="midCat"/>
      </c:valAx>
      <c:valAx>
        <c:axId val="15675680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Transmission Ratio</a:t>
                </a:r>
              </a:p>
            </c:rich>
          </c:tx>
          <c:overlay val="0"/>
        </c:title>
        <c:numFmt formatCode="0.0000" sourceLinked="1"/>
        <c:majorTickMark val="out"/>
        <c:minorTickMark val="none"/>
        <c:tickLblPos val="nextTo"/>
        <c:crossAx val="156756224"/>
        <c:crossesAt val="300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53162</xdr:colOff>
      <xdr:row>1</xdr:row>
      <xdr:rowOff>26581</xdr:rowOff>
    </xdr:from>
    <xdr:to>
      <xdr:col>8</xdr:col>
      <xdr:colOff>584791</xdr:colOff>
      <xdr:row>5</xdr:row>
      <xdr:rowOff>150628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643962" y="217081"/>
          <a:ext cx="2970029" cy="9527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Calibration Data</a:t>
          </a:r>
          <a:r>
            <a:rPr lang="en-US" sz="2000" b="1" baseline="0">
              <a:latin typeface="Arial" panose="020B0604020202020204" pitchFamily="34" charset="0"/>
              <a:cs typeface="Arial" panose="020B0604020202020204" pitchFamily="34" charset="0"/>
            </a:rPr>
            <a:t>      </a:t>
          </a:r>
          <a:r>
            <a:rPr lang="en-US" sz="1600">
              <a:latin typeface="Arial" panose="020B0604020202020204" pitchFamily="34" charset="0"/>
              <a:cs typeface="Arial" panose="020B0604020202020204" pitchFamily="34" charset="0"/>
            </a:rPr>
            <a:t>Color</a:t>
          </a:r>
          <a:r>
            <a:rPr lang="en-US" sz="16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600">
              <a:latin typeface="Arial" panose="020B0604020202020204" pitchFamily="34" charset="0"/>
              <a:cs typeface="Arial" panose="020B0604020202020204" pitchFamily="34" charset="0"/>
            </a:rPr>
            <a:t>Transmission Calibration Slide</a:t>
          </a:r>
        </a:p>
      </xdr:txBody>
    </xdr:sp>
    <xdr:clientData/>
  </xdr:twoCellAnchor>
  <xdr:twoCellAnchor>
    <xdr:from>
      <xdr:col>1</xdr:col>
      <xdr:colOff>152400</xdr:colOff>
      <xdr:row>1</xdr:row>
      <xdr:rowOff>104775</xdr:rowOff>
    </xdr:from>
    <xdr:to>
      <xdr:col>3</xdr:col>
      <xdr:colOff>562956</xdr:colOff>
      <xdr:row>5</xdr:row>
      <xdr:rowOff>137491</xdr:rowOff>
    </xdr:to>
    <xdr:pic>
      <xdr:nvPicPr>
        <xdr:cNvPr id="4" name="Picture 549" descr="NEW-Applied Image Logo ">
          <a:extLst>
            <a:ext uri="{FF2B5EF4-FFF2-40B4-BE49-F238E27FC236}">
              <a16:creationId xmlns:a16="http://schemas.microsoft.com/office/drawing/2014/main" id="{3203FAC3-D715-4E60-8B9C-2578501F4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450" y="295275"/>
          <a:ext cx="1610706" cy="8613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312420</xdr:colOff>
      <xdr:row>1</xdr:row>
      <xdr:rowOff>30480</xdr:rowOff>
    </xdr:from>
    <xdr:to>
      <xdr:col>12</xdr:col>
      <xdr:colOff>342900</xdr:colOff>
      <xdr:row>5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BC7FDD9-4244-495A-9D75-D65D2F898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63540" y="213360"/>
          <a:ext cx="1699260" cy="784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30</xdr:row>
      <xdr:rowOff>104776</xdr:rowOff>
    </xdr:from>
    <xdr:to>
      <xdr:col>21</xdr:col>
      <xdr:colOff>1085850</xdr:colOff>
      <xdr:row>57</xdr:row>
      <xdr:rowOff>114301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AAAA\IAM9C\SpectralCalculator5nm-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tral Conversion"/>
      <sheetName val="References"/>
      <sheetName val="Spectral Conversion (2)"/>
    </sheetNames>
    <sheetDataSet>
      <sheetData sheetId="0" refreshError="1"/>
      <sheetData sheetId="1" refreshError="1">
        <row r="3">
          <cell r="BH3">
            <v>2.04148</v>
          </cell>
        </row>
        <row r="4">
          <cell r="Q4">
            <v>43.359586478134105</v>
          </cell>
          <cell r="AN4">
            <v>2.3334580622807993E-71</v>
          </cell>
          <cell r="AO4">
            <v>2.8183829312643154E-37</v>
          </cell>
          <cell r="AP4">
            <v>1.5922087270511841E-30</v>
          </cell>
          <cell r="AR4">
            <v>1E-13</v>
          </cell>
          <cell r="AS4">
            <v>1E-13</v>
          </cell>
        </row>
        <row r="5">
          <cell r="Q5">
            <v>45.568651959602754</v>
          </cell>
          <cell r="AN5">
            <v>5.2239618899906754E-70</v>
          </cell>
          <cell r="AO5">
            <v>3.548133892335594E-36</v>
          </cell>
          <cell r="AP5">
            <v>1.2647363474711573E-28</v>
          </cell>
          <cell r="AR5">
            <v>1E-13</v>
          </cell>
          <cell r="AS5">
            <v>1E-13</v>
          </cell>
        </row>
        <row r="6">
          <cell r="Q6">
            <v>47.773001361604436</v>
          </cell>
          <cell r="AN6">
            <v>1.1694993910197386E-68</v>
          </cell>
          <cell r="AO6">
            <v>4.4668359215094453E-35</v>
          </cell>
          <cell r="AP6">
            <v>1.0046157902783959E-26</v>
          </cell>
          <cell r="AR6">
            <v>1E-13</v>
          </cell>
          <cell r="AS6">
            <v>1E-13</v>
          </cell>
        </row>
        <row r="7">
          <cell r="Q7">
            <v>49.9672680725891</v>
          </cell>
          <cell r="AN7">
            <v>2.6181830082186561E-67</v>
          </cell>
          <cell r="AO7">
            <v>5.6234132519032785E-34</v>
          </cell>
          <cell r="AP7">
            <v>7.9799468726797413E-25</v>
          </cell>
          <cell r="AR7">
            <v>1E-13</v>
          </cell>
          <cell r="AS7">
            <v>1E-13</v>
          </cell>
        </row>
        <row r="8">
          <cell r="Q8">
            <v>52.146339041168211</v>
          </cell>
          <cell r="AN8">
            <v>5.8613816451396393E-66</v>
          </cell>
          <cell r="AO8">
            <v>7.0794578438411361E-33</v>
          </cell>
          <cell r="AP8">
            <v>6.3386971125692244E-23</v>
          </cell>
          <cell r="AR8">
            <v>1E-13</v>
          </cell>
          <cell r="AS8">
            <v>1E-13</v>
          </cell>
        </row>
        <row r="9">
          <cell r="Q9">
            <v>54.305369853586917</v>
          </cell>
          <cell r="AN9">
            <v>1.3121998990190788E-64</v>
          </cell>
          <cell r="AO9">
            <v>8.9125093813371847E-32</v>
          </cell>
          <cell r="AP9">
            <v>5.0350060878789923E-21</v>
          </cell>
          <cell r="AR9">
            <v>1E-13</v>
          </cell>
          <cell r="AS9">
            <v>1E-13</v>
          </cell>
        </row>
        <row r="10">
          <cell r="Q10">
            <v>56.43979612069311</v>
          </cell>
          <cell r="AN10">
            <v>2.9376496519612145E-63</v>
          </cell>
          <cell r="AO10">
            <v>1.1220184543019334E-30</v>
          </cell>
          <cell r="AP10">
            <v>3.9994474976109436E-19</v>
          </cell>
          <cell r="AR10">
            <v>1E-13</v>
          </cell>
          <cell r="AS10">
            <v>0.01</v>
          </cell>
        </row>
        <row r="11">
          <cell r="Q11">
            <v>58.545341481852951</v>
          </cell>
          <cell r="AN11">
            <v>6.5765783735535987E-62</v>
          </cell>
          <cell r="AO11">
            <v>1.4125375446227216E-29</v>
          </cell>
          <cell r="AP11">
            <v>3.1768740706497561E-17</v>
          </cell>
          <cell r="AR11">
            <v>1E-13</v>
          </cell>
          <cell r="AS11">
            <v>5.1939767350700779E-2</v>
          </cell>
        </row>
        <row r="12">
          <cell r="Q12">
            <v>60.618022536472509</v>
          </cell>
          <cell r="AN12">
            <v>1.4723125024325643E-60</v>
          </cell>
          <cell r="AO12">
            <v>1.7782794100388882E-28</v>
          </cell>
          <cell r="AP12">
            <v>2.5234807724805617E-15</v>
          </cell>
          <cell r="AR12">
            <v>1E-13</v>
          </cell>
          <cell r="AS12">
            <v>0.26977394324449216</v>
          </cell>
        </row>
        <row r="13">
          <cell r="Q13">
            <v>62.654151011272646</v>
          </cell>
          <cell r="AN13">
            <v>3.2960971217742821E-59</v>
          </cell>
          <cell r="AO13">
            <v>2.2387211385683049E-27</v>
          </cell>
          <cell r="AP13">
            <v>2.0044720273651576E-13</v>
          </cell>
          <cell r="AR13">
            <v>1E-13</v>
          </cell>
          <cell r="AS13">
            <v>0.85310011401759034</v>
          </cell>
        </row>
        <row r="14">
          <cell r="Q14">
            <v>64.65033346435456</v>
          </cell>
          <cell r="AN14">
            <v>7.3790423012903589E-58</v>
          </cell>
          <cell r="AO14">
            <v>2.8183829312644201E-26</v>
          </cell>
          <cell r="AP14">
            <v>1.5922087270511665E-11</v>
          </cell>
          <cell r="AR14">
            <v>1E-13</v>
          </cell>
          <cell r="AS14">
            <v>2.6977394324449224</v>
          </cell>
        </row>
        <row r="15">
          <cell r="Q15">
            <v>66.603468816365989</v>
          </cell>
          <cell r="AN15">
            <v>1.6519617982288713E-56</v>
          </cell>
          <cell r="AO15">
            <v>3.5481338923357247E-25</v>
          </cell>
          <cell r="AP15">
            <v>1.2647363474711502E-9</v>
          </cell>
          <cell r="AR15">
            <v>1E-13</v>
          </cell>
          <cell r="AS15">
            <v>5.9224308687613139</v>
          </cell>
        </row>
        <row r="16">
          <cell r="Q16">
            <v>68.510743985611626</v>
          </cell>
          <cell r="AN16">
            <v>3.6982817978023453E-55</v>
          </cell>
          <cell r="AO16">
            <v>4.4668359215096103E-24</v>
          </cell>
          <cell r="AP16">
            <v>1.0046157902783958E-7</v>
          </cell>
          <cell r="AR16">
            <v>1E-13</v>
          </cell>
          <cell r="AS16">
            <v>13.001695780332913</v>
          </cell>
        </row>
        <row r="17">
          <cell r="Q17">
            <v>70.369627888479258</v>
          </cell>
          <cell r="AN17">
            <v>8.2794216371226444E-54</v>
          </cell>
          <cell r="AO17">
            <v>5.6234132519034855E-23</v>
          </cell>
          <cell r="AP17">
            <v>7.979946872679767E-6</v>
          </cell>
          <cell r="AR17">
            <v>1E-13</v>
          </cell>
          <cell r="AS17">
            <v>19.746948794093353</v>
          </cell>
        </row>
        <row r="18">
          <cell r="Q18">
            <v>72.177864049731781</v>
          </cell>
          <cell r="AN18">
            <v>1.8535316234146838E-52</v>
          </cell>
          <cell r="AO18">
            <v>7.0794578438414001E-22</v>
          </cell>
          <cell r="AP18">
            <v>6.3386971125692707E-4</v>
          </cell>
          <cell r="AR18">
            <v>1E-13</v>
          </cell>
          <cell r="AS18">
            <v>29.991625189876547</v>
          </cell>
        </row>
        <row r="19">
          <cell r="Q19">
            <v>73.933462049571361</v>
          </cell>
          <cell r="AN19">
            <v>4.1495404263433493E-51</v>
          </cell>
          <cell r="AO19">
            <v>8.9125093813374506E-21</v>
          </cell>
          <cell r="AP19">
            <v>5.0350060878790494E-2</v>
          </cell>
          <cell r="AR19">
            <v>1E-13</v>
          </cell>
          <cell r="AS19">
            <v>42.413098391048827</v>
          </cell>
        </row>
        <row r="20">
          <cell r="Q20">
            <v>75.634688016364393</v>
          </cell>
          <cell r="AN20">
            <v>9.2896638677987478E-50</v>
          </cell>
          <cell r="AO20">
            <v>1.122018454301967E-19</v>
          </cell>
          <cell r="AP20">
            <v>3.9994474976109777</v>
          </cell>
          <cell r="AR20">
            <v>1E-13</v>
          </cell>
          <cell r="AS20">
            <v>59.979107625550995</v>
          </cell>
        </row>
        <row r="21">
          <cell r="Q21">
            <v>77.280054355893014</v>
          </cell>
          <cell r="AN21">
            <v>2.0796966871035608E-48</v>
          </cell>
          <cell r="AO21">
            <v>1.4125375446227539E-18</v>
          </cell>
          <cell r="AP21">
            <v>16.236783504824423</v>
          </cell>
          <cell r="AR21">
            <v>1E-13</v>
          </cell>
          <cell r="AS21">
            <v>70.14552984199716</v>
          </cell>
          <cell r="BH21">
            <v>1.239477978610269E-2</v>
          </cell>
          <cell r="BI21">
            <v>8.1853662306294317E-4</v>
          </cell>
          <cell r="BJ21">
            <v>6.21753301168846E-2</v>
          </cell>
        </row>
        <row r="22">
          <cell r="Q22">
            <v>78.868308890265354</v>
          </cell>
          <cell r="AN22">
            <v>4.6558609352292941E-47</v>
          </cell>
          <cell r="AO22">
            <v>1.7782794100389228E-17</v>
          </cell>
          <cell r="AP22">
            <v>65.917389524432224</v>
          </cell>
          <cell r="AR22">
            <v>1E-13</v>
          </cell>
          <cell r="AS22">
            <v>82.035154432981841</v>
          </cell>
          <cell r="BH22">
            <v>1.727244186862088E-2</v>
          </cell>
          <cell r="BI22">
            <v>1.1406516681356387E-3</v>
          </cell>
          <cell r="BJ22">
            <v>8.6642908840567356E-2</v>
          </cell>
        </row>
        <row r="23">
          <cell r="Q23">
            <v>80.398423562388402</v>
          </cell>
          <cell r="AN23">
            <v>1.0423174293932392E-45</v>
          </cell>
          <cell r="AO23">
            <v>2.2387211385683399E-16</v>
          </cell>
          <cell r="AP23">
            <v>81.189524893567537</v>
          </cell>
          <cell r="AR23">
            <v>1E-13</v>
          </cell>
          <cell r="AS23">
            <v>90.573260089820039</v>
          </cell>
        </row>
        <row r="24">
          <cell r="Q24">
            <v>81.86958284538234</v>
          </cell>
          <cell r="AN24">
            <v>2.3334580622808939E-44</v>
          </cell>
          <cell r="AO24">
            <v>2.8183829312644546E-15</v>
          </cell>
          <cell r="AP24">
            <v>100</v>
          </cell>
          <cell r="AR24">
            <v>1E-13</v>
          </cell>
          <cell r="AS24">
            <v>100</v>
          </cell>
        </row>
        <row r="25">
          <cell r="Q25">
            <v>83.281171980603432</v>
          </cell>
          <cell r="AN25">
            <v>5.2239618899909608E-43</v>
          </cell>
          <cell r="AO25">
            <v>3.5481338923357559E-14</v>
          </cell>
          <cell r="AP25">
            <v>90.364947372230105</v>
          </cell>
          <cell r="AR25">
            <v>1E-13</v>
          </cell>
          <cell r="AS25">
            <v>95.389374284154499</v>
          </cell>
        </row>
        <row r="26">
          <cell r="Q26">
            <v>84.632765153136788</v>
          </cell>
          <cell r="AN26">
            <v>1.1694993910198194E-41</v>
          </cell>
          <cell r="AO26">
            <v>4.4668359215096337E-13</v>
          </cell>
          <cell r="AP26">
            <v>81.658237135859295</v>
          </cell>
          <cell r="AR26">
            <v>1E-13</v>
          </cell>
          <cell r="AS26">
            <v>90.991327263225145</v>
          </cell>
        </row>
        <row r="27">
          <cell r="Q27">
            <v>85.924113699791619</v>
          </cell>
          <cell r="AN27">
            <v>2.6181830082188735E-40</v>
          </cell>
          <cell r="AO27">
            <v>5.6234132519034743E-12</v>
          </cell>
          <cell r="AP27">
            <v>58.344510427374551</v>
          </cell>
          <cell r="AR27">
            <v>1E-13</v>
          </cell>
          <cell r="AS27">
            <v>83.176377110267168</v>
          </cell>
        </row>
        <row r="28">
          <cell r="Q28">
            <v>87.155134431787985</v>
          </cell>
          <cell r="AN28">
            <v>5.8613816451400439E-39</v>
          </cell>
          <cell r="AO28">
            <v>7.0794578438413597E-11</v>
          </cell>
          <cell r="AP28">
            <v>41.686938347033625</v>
          </cell>
          <cell r="AR28">
            <v>1E-13</v>
          </cell>
          <cell r="AS28">
            <v>76.032627694018345</v>
          </cell>
        </row>
        <row r="29">
          <cell r="Q29">
            <v>88.325898142489322</v>
          </cell>
          <cell r="AN29">
            <v>1.3121998990191507E-37</v>
          </cell>
          <cell r="AO29">
            <v>8.9125093813374317E-10</v>
          </cell>
          <cell r="AP29">
            <v>21.379620895022349</v>
          </cell>
          <cell r="AR29">
            <v>1E-13</v>
          </cell>
          <cell r="AS29">
            <v>59.772304468870033</v>
          </cell>
        </row>
        <row r="30">
          <cell r="Q30">
            <v>89.436618359692986</v>
          </cell>
          <cell r="AN30">
            <v>2.9376496519614587E-36</v>
          </cell>
          <cell r="AO30">
            <v>1.1220184543019587E-8</v>
          </cell>
          <cell r="AP30">
            <v>10.964781961431855</v>
          </cell>
          <cell r="AR30">
            <v>0.01</v>
          </cell>
          <cell r="AS30">
            <v>46.989410860521595</v>
          </cell>
        </row>
        <row r="31">
          <cell r="Q31">
            <v>90.487640392120937</v>
          </cell>
          <cell r="AN31">
            <v>6.5765783735539587E-35</v>
          </cell>
          <cell r="AO31">
            <v>1.412537544622751E-7</v>
          </cell>
          <cell r="AP31">
            <v>2.9444216337987665</v>
          </cell>
          <cell r="AR31">
            <v>0.1</v>
          </cell>
          <cell r="AS31">
            <v>29.073679594442311</v>
          </cell>
        </row>
        <row r="32">
          <cell r="Q32">
            <v>91.479430710812323</v>
          </cell>
          <cell r="AN32">
            <v>1.4723125024326654E-33</v>
          </cell>
          <cell r="AO32">
            <v>1.7782794100389204E-6</v>
          </cell>
          <cell r="AP32">
            <v>0.79067862799982591</v>
          </cell>
          <cell r="AR32">
            <v>1</v>
          </cell>
          <cell r="AS32">
            <v>17.988709151287882</v>
          </cell>
        </row>
        <row r="33">
          <cell r="Q33">
            <v>92.412566698079374</v>
          </cell>
          <cell r="AN33">
            <v>3.2960971217744626E-32</v>
          </cell>
          <cell r="AO33">
            <v>2.2387211385683372E-5</v>
          </cell>
          <cell r="AP33">
            <v>0.17060823890031243</v>
          </cell>
          <cell r="AR33">
            <v>2.2361451987225229</v>
          </cell>
          <cell r="AS33">
            <v>10.387236024226217</v>
          </cell>
        </row>
        <row r="34">
          <cell r="Q34">
            <v>93.287726789490762</v>
          </cell>
          <cell r="AN34">
            <v>7.3790423012908152E-31</v>
          </cell>
          <cell r="AO34">
            <v>2.8183829312644518E-4</v>
          </cell>
          <cell r="AP34">
            <v>3.681289736425316E-2</v>
          </cell>
          <cell r="AR34">
            <v>5.0003453497697912</v>
          </cell>
          <cell r="AS34">
            <v>5.9979107625551036</v>
          </cell>
        </row>
        <row r="35">
          <cell r="Q35">
            <v>94.105681027942495</v>
          </cell>
          <cell r="AN35">
            <v>1.6519617982289735E-29</v>
          </cell>
          <cell r="AO35">
            <v>3.5481338923357532E-3</v>
          </cell>
          <cell r="AP35">
            <v>7.3366871441835971E-3</v>
          </cell>
          <cell r="AR35">
            <v>11.830415557251676</v>
          </cell>
          <cell r="AS35">
            <v>2.1902818280684557</v>
          </cell>
        </row>
        <row r="36">
          <cell r="Q36">
            <v>94.867282043216377</v>
          </cell>
          <cell r="AN36">
            <v>3.6982817978026003E-28</v>
          </cell>
          <cell r="AO36">
            <v>4.466835921509632E-2</v>
          </cell>
          <cell r="AP36">
            <v>1.4621771744567182E-3</v>
          </cell>
          <cell r="AR36">
            <v>27.989813196343668</v>
          </cell>
          <cell r="AS36">
            <v>0.7998342550070292</v>
          </cell>
        </row>
        <row r="37">
          <cell r="Q37">
            <v>95.573456465451869</v>
          </cell>
          <cell r="AN37">
            <v>8.2794216371232132E-27</v>
          </cell>
          <cell r="AO37">
            <v>0.54450265284242139</v>
          </cell>
          <cell r="AP37">
            <v>2.9174270140011664E-4</v>
          </cell>
          <cell r="AR37">
            <v>43.651583224016676</v>
          </cell>
          <cell r="AS37">
            <v>0.19998618696327461</v>
          </cell>
        </row>
        <row r="38">
          <cell r="Q38">
            <v>96.225196776615533</v>
          </cell>
          <cell r="AN38">
            <v>1.8535316234147852E-25</v>
          </cell>
          <cell r="AO38">
            <v>6.6374307040190912</v>
          </cell>
          <cell r="AP38">
            <v>5.8210321777087133E-5</v>
          </cell>
          <cell r="AR38">
            <v>68.076935869374296</v>
          </cell>
          <cell r="AS38">
            <v>5.0003453497697872E-2</v>
          </cell>
        </row>
        <row r="39">
          <cell r="Q39">
            <v>96.82355360029679</v>
          </cell>
          <cell r="AN39">
            <v>4.1495404263436064E-24</v>
          </cell>
          <cell r="AO39">
            <v>20.044720273651603</v>
          </cell>
          <cell r="AP39">
            <v>1.1614486138403424E-5</v>
          </cell>
          <cell r="AR39">
            <v>79.158945462426274</v>
          </cell>
          <cell r="AS39">
            <v>2.2361451987225216E-2</v>
          </cell>
        </row>
        <row r="40">
          <cell r="Q40">
            <v>97.369628426923128</v>
          </cell>
          <cell r="AN40">
            <v>9.289663867799323E-23</v>
          </cell>
          <cell r="AO40">
            <v>60.534087475391473</v>
          </cell>
          <cell r="AP40">
            <v>2.3173946499684793E-6</v>
          </cell>
          <cell r="AR40">
            <v>92.044957175317279</v>
          </cell>
          <cell r="AS40">
            <v>0.01</v>
          </cell>
        </row>
        <row r="41">
          <cell r="Q41">
            <v>97.864566768743686</v>
          </cell>
          <cell r="AN41">
            <v>2.0796966871036895E-21</v>
          </cell>
          <cell r="AO41">
            <v>77.803655103980546</v>
          </cell>
          <cell r="AP41">
            <v>4.6238102139925987E-7</v>
          </cell>
          <cell r="AR41">
            <v>95.940063151593478</v>
          </cell>
          <cell r="AS41">
            <v>1E-13</v>
          </cell>
        </row>
        <row r="42">
          <cell r="Q42">
            <v>98.309551736615944</v>
          </cell>
          <cell r="AN42">
            <v>4.6558609352296141E-20</v>
          </cell>
          <cell r="AO42">
            <v>100</v>
          </cell>
          <cell r="AP42">
            <v>9.2257142715476252E-8</v>
          </cell>
          <cell r="AR42">
            <v>100</v>
          </cell>
          <cell r="AS42">
            <v>1E-13</v>
          </cell>
        </row>
        <row r="43">
          <cell r="Q43">
            <v>98.705798028702773</v>
          </cell>
          <cell r="AN43">
            <v>1.0423174293933037E-18</v>
          </cell>
          <cell r="AO43">
            <v>89.742879450074781</v>
          </cell>
          <cell r="AP43">
            <v>1.8407720014689538E-8</v>
          </cell>
          <cell r="AR43">
            <v>93.756200692588038</v>
          </cell>
          <cell r="AS43">
            <v>1E-13</v>
          </cell>
        </row>
        <row r="44">
          <cell r="Q44">
            <v>99.054546319617415</v>
          </cell>
          <cell r="AN44">
            <v>2.3334580622810048E-17</v>
          </cell>
          <cell r="AO44">
            <v>80.537844119906651</v>
          </cell>
          <cell r="AP44">
            <v>3.6728230049808357E-9</v>
          </cell>
          <cell r="AR44">
            <v>87.902251683088593</v>
          </cell>
          <cell r="AS44">
            <v>1E-13</v>
          </cell>
        </row>
        <row r="45">
          <cell r="Q45">
            <v>99.35705803728824</v>
          </cell>
          <cell r="AN45">
            <v>5.2239618899912096E-16</v>
          </cell>
          <cell r="AO45">
            <v>59.566214352901191</v>
          </cell>
          <cell r="AP45">
            <v>7.3282453313890142E-10</v>
          </cell>
          <cell r="AR45">
            <v>76.207901002541277</v>
          </cell>
          <cell r="AS45">
            <v>1E-13</v>
          </cell>
        </row>
        <row r="46">
          <cell r="Q46">
            <v>99.614610513830087</v>
          </cell>
          <cell r="AN46">
            <v>1.1694993910198708E-14</v>
          </cell>
          <cell r="AO46">
            <v>44.055486350655379</v>
          </cell>
          <cell r="AP46">
            <v>1.4621771744567122E-10</v>
          </cell>
          <cell r="AR46">
            <v>66.069344800759737</v>
          </cell>
          <cell r="AS46">
            <v>1E-13</v>
          </cell>
        </row>
        <row r="47">
          <cell r="Q47">
            <v>99.82849249596407</v>
          </cell>
          <cell r="AN47">
            <v>2.6181830082189887E-13</v>
          </cell>
          <cell r="AO47">
            <v>27.070732039213624</v>
          </cell>
          <cell r="AP47">
            <v>2.9174270140011593E-11</v>
          </cell>
          <cell r="AR47">
            <v>52.662321489389853</v>
          </cell>
          <cell r="AS47">
            <v>1E-13</v>
          </cell>
        </row>
        <row r="48">
          <cell r="Q48">
            <v>100</v>
          </cell>
          <cell r="AN48">
            <v>5.8613816451402824E-12</v>
          </cell>
          <cell r="AO48">
            <v>16.634126503701715</v>
          </cell>
          <cell r="AP48">
            <v>5.8210321777086961E-12</v>
          </cell>
          <cell r="AR48">
            <v>41.975898399100849</v>
          </cell>
          <cell r="AS48">
            <v>1E-13</v>
          </cell>
        </row>
        <row r="49">
          <cell r="Q49">
            <v>100.13043249604891</v>
          </cell>
          <cell r="AN49">
            <v>1.3121998990192013E-10</v>
          </cell>
          <cell r="AO49">
            <v>8.2224264994707248</v>
          </cell>
          <cell r="AP49">
            <v>1.1614486138403388E-12</v>
          </cell>
          <cell r="AR49">
            <v>30.373860919461098</v>
          </cell>
          <cell r="AS49">
            <v>1E-13</v>
          </cell>
        </row>
        <row r="50">
          <cell r="Q50">
            <v>100.22108940595362</v>
          </cell>
          <cell r="AN50">
            <v>2.9376496519615252E-9</v>
          </cell>
          <cell r="AO50">
            <v>4.0644332916521293</v>
          </cell>
          <cell r="AP50">
            <v>2.3173946499684778E-13</v>
          </cell>
          <cell r="AR50">
            <v>21.978598727848269</v>
          </cell>
          <cell r="AS50">
            <v>1E-13</v>
          </cell>
        </row>
        <row r="51">
          <cell r="Q51">
            <v>100.27326689938241</v>
          </cell>
          <cell r="AN51">
            <v>6.5765783735541893E-8</v>
          </cell>
          <cell r="AO51">
            <v>1.539926526059493</v>
          </cell>
          <cell r="AP51">
            <v>4.6238102139925997E-14</v>
          </cell>
          <cell r="AR51">
            <v>14.060475241299137</v>
          </cell>
          <cell r="AS51">
            <v>1E-13</v>
          </cell>
        </row>
        <row r="52">
          <cell r="Q52">
            <v>100.2882549726011</v>
          </cell>
          <cell r="AN52">
            <v>1.4723125024327173E-6</v>
          </cell>
          <cell r="AO52">
            <v>0.5834451042737453</v>
          </cell>
          <cell r="AP52">
            <v>9.2257142715476542E-15</v>
          </cell>
          <cell r="AR52">
            <v>8.9949758153003572</v>
          </cell>
          <cell r="AS52">
            <v>1E-13</v>
          </cell>
        </row>
        <row r="53">
          <cell r="Q53">
            <v>100.26733479462548</v>
          </cell>
          <cell r="AN53">
            <v>3.2960971217745756E-5</v>
          </cell>
          <cell r="AO53">
            <v>0.14876473740795029</v>
          </cell>
          <cell r="AP53">
            <v>1.8407720014689597E-15</v>
          </cell>
          <cell r="AR53">
            <v>4.7424198526024517</v>
          </cell>
          <cell r="AS53">
            <v>1E-13</v>
          </cell>
        </row>
        <row r="54">
          <cell r="Q54">
            <v>100.2117763057049</v>
          </cell>
          <cell r="AN54">
            <v>7.3790423012910073E-4</v>
          </cell>
          <cell r="AO54">
            <v>3.7931498497368203E-2</v>
          </cell>
          <cell r="AP54">
            <v>3.6728230049808658E-16</v>
          </cell>
          <cell r="AR54">
            <v>2.5003453616964335</v>
          </cell>
          <cell r="AS54">
            <v>1E-13</v>
          </cell>
        </row>
        <row r="55">
          <cell r="Q55">
            <v>100.12283605342594</v>
          </cell>
          <cell r="AN55">
            <v>1.6519617982290152E-2</v>
          </cell>
          <cell r="AO55">
            <v>5.3579665751334171E-3</v>
          </cell>
          <cell r="AP55">
            <v>7.3282453313890754E-17</v>
          </cell>
          <cell r="AR55">
            <v>1.3228177080099368</v>
          </cell>
          <cell r="AS55">
            <v>1E-13</v>
          </cell>
        </row>
        <row r="56">
          <cell r="Q56">
            <v>100.0017552521127</v>
          </cell>
          <cell r="AN56">
            <v>0.36982817978026644</v>
          </cell>
          <cell r="AO56">
            <v>7.5683289502097436E-4</v>
          </cell>
          <cell r="AP56">
            <v>1.4621771744567293E-17</v>
          </cell>
          <cell r="AR56">
            <v>0.69984199600227437</v>
          </cell>
          <cell r="AS56">
            <v>1E-13</v>
          </cell>
        </row>
        <row r="57">
          <cell r="Q57">
            <v>99.8497580516281</v>
          </cell>
          <cell r="AN57">
            <v>4.0086671762730273</v>
          </cell>
          <cell r="AO57">
            <v>1.0690548792226575E-4</v>
          </cell>
          <cell r="AP57">
            <v>2.9174270140011986E-18</v>
          </cell>
          <cell r="AR57">
            <v>0.2508996179465402</v>
          </cell>
          <cell r="AS57">
            <v>1E-13</v>
          </cell>
        </row>
        <row r="58">
          <cell r="Q58">
            <v>99.668050002154828</v>
          </cell>
          <cell r="AN58">
            <v>43.451022417157176</v>
          </cell>
          <cell r="AO58">
            <v>1.510080154164148E-5</v>
          </cell>
          <cell r="AP58">
            <v>5.8210321777087752E-19</v>
          </cell>
          <cell r="AR58">
            <v>8.9949758153003531E-2</v>
          </cell>
          <cell r="AS58">
            <v>1E-13</v>
          </cell>
        </row>
        <row r="59">
          <cell r="Q59">
            <v>99.457816702029234</v>
          </cell>
          <cell r="AN59">
            <v>65.917389524432224</v>
          </cell>
          <cell r="AO59">
            <v>2.1330449131465764E-6</v>
          </cell>
          <cell r="AP59">
            <v>1.1614486138403547E-19</v>
          </cell>
          <cell r="AR59">
            <v>2.9991625189876515E-2</v>
          </cell>
          <cell r="AS59">
            <v>1E-13</v>
          </cell>
        </row>
        <row r="60">
          <cell r="Q60">
            <v>99.220222616213249</v>
          </cell>
          <cell r="AN60">
            <v>100</v>
          </cell>
          <cell r="AO60">
            <v>3.0130060241861188E-7</v>
          </cell>
          <cell r="AP60">
            <v>2.317394649968501E-20</v>
          </cell>
          <cell r="AR60">
            <v>0.01</v>
          </cell>
          <cell r="AS60">
            <v>1E-13</v>
          </cell>
        </row>
        <row r="61">
          <cell r="Q61">
            <v>98.956410053521964</v>
          </cell>
          <cell r="AN61">
            <v>86.198557870575954</v>
          </cell>
          <cell r="AO61">
            <v>4.2559841313374315E-8</v>
          </cell>
          <cell r="AP61">
            <v>4.6238102139926461E-21</v>
          </cell>
          <cell r="AR61">
            <v>3.1622776601683746E-8</v>
          </cell>
          <cell r="AS61">
            <v>1E-13</v>
          </cell>
        </row>
        <row r="62">
          <cell r="Q62">
            <v>98.667498291256649</v>
          </cell>
          <cell r="AN62">
            <v>74.301913789670309</v>
          </cell>
          <cell r="AO62">
            <v>6.0117373748327885E-9</v>
          </cell>
          <cell r="AP62">
            <v>9.2257142715477117E-22</v>
          </cell>
          <cell r="AR62">
            <v>1E-13</v>
          </cell>
          <cell r="AS62">
            <v>1E-13</v>
          </cell>
        </row>
        <row r="63">
          <cell r="Q63">
            <v>98.354582836427966</v>
          </cell>
          <cell r="AN63">
            <v>54.638654988185571</v>
          </cell>
          <cell r="AO63">
            <v>8.4918047503631571E-10</v>
          </cell>
          <cell r="AP63">
            <v>1.8407720014689841E-22</v>
          </cell>
          <cell r="AR63">
            <v>1E-13</v>
          </cell>
          <cell r="AS63">
            <v>1E-13</v>
          </cell>
        </row>
        <row r="64">
          <cell r="Q64">
            <v>98.018734813292184</v>
          </cell>
          <cell r="AN64">
            <v>40.179081084894051</v>
          </cell>
          <cell r="AO64">
            <v>1.1994993031493807E-10</v>
          </cell>
          <cell r="AP64">
            <v>3.6728230049809023E-23</v>
          </cell>
          <cell r="AR64">
            <v>1E-13</v>
          </cell>
          <cell r="AS64">
            <v>1E-13</v>
          </cell>
        </row>
        <row r="65">
          <cell r="Q65">
            <v>97.661000467450009</v>
          </cell>
          <cell r="AN65">
            <v>27.861211686297757</v>
          </cell>
          <cell r="AO65">
            <v>1.6943378004473325E-11</v>
          </cell>
          <cell r="AP65">
            <v>7.3282453313891485E-24</v>
          </cell>
          <cell r="AR65">
            <v>1E-13</v>
          </cell>
          <cell r="AS65">
            <v>1E-13</v>
          </cell>
        </row>
        <row r="66">
          <cell r="Q66">
            <v>97.282400777276095</v>
          </cell>
          <cell r="AN66">
            <v>19.319683170169252</v>
          </cell>
          <cell r="AO66">
            <v>2.3933157564053871E-12</v>
          </cell>
          <cell r="AP66">
            <v>1.4621771744567495E-24</v>
          </cell>
          <cell r="AR66">
            <v>1E-13</v>
          </cell>
          <cell r="AS66">
            <v>1E-13</v>
          </cell>
        </row>
        <row r="67">
          <cell r="Q67">
            <v>96.883931163959971</v>
          </cell>
          <cell r="AN67">
            <v>12.387965865303695</v>
          </cell>
          <cell r="AO67">
            <v>3.3806483620598195E-13</v>
          </cell>
          <cell r="AP67">
            <v>2.9174270140012285E-25</v>
          </cell>
          <cell r="AR67">
            <v>1E-13</v>
          </cell>
          <cell r="AS67">
            <v>1E-13</v>
          </cell>
        </row>
        <row r="68">
          <cell r="Q68">
            <v>96.466561291931896</v>
          </cell>
          <cell r="AN68">
            <v>7.9432823472428158</v>
          </cell>
          <cell r="AO68">
            <v>4.7752927365769187E-14</v>
          </cell>
          <cell r="AP68">
            <v>5.8210321777088332E-26</v>
          </cell>
          <cell r="AR68">
            <v>1E-13</v>
          </cell>
          <cell r="AS68">
            <v>1E-13</v>
          </cell>
        </row>
        <row r="69">
          <cell r="Q69">
            <v>96.031234951930344</v>
          </cell>
          <cell r="AN69">
            <v>5.3149599950664905</v>
          </cell>
          <cell r="AO69">
            <v>6.74528027697924E-15</v>
          </cell>
          <cell r="AP69">
            <v>1.1614486138403662E-26</v>
          </cell>
          <cell r="AR69">
            <v>1E-13</v>
          </cell>
          <cell r="AS69">
            <v>1E-13</v>
          </cell>
        </row>
        <row r="70">
          <cell r="Q70">
            <v>95.578870019432344</v>
          </cell>
          <cell r="AN70">
            <v>3.5563131856898553</v>
          </cell>
          <cell r="AO70">
            <v>9.5279616402365577E-16</v>
          </cell>
          <cell r="AP70">
            <v>2.3173946499685407E-27</v>
          </cell>
          <cell r="AR70">
            <v>1E-13</v>
          </cell>
          <cell r="AS70">
            <v>1E-13</v>
          </cell>
        </row>
        <row r="71">
          <cell r="Q71">
            <v>95.110358481617439</v>
          </cell>
          <cell r="AN71">
            <v>2.2803420720004204</v>
          </cell>
          <cell r="AO71">
            <v>1.345860354055955E-16</v>
          </cell>
          <cell r="AP71">
            <v>4.6238102139927243E-28</v>
          </cell>
          <cell r="AR71">
            <v>1E-13</v>
          </cell>
          <cell r="AS71">
            <v>1E-13</v>
          </cell>
        </row>
        <row r="72">
          <cell r="Q72">
            <v>94.626566526465766</v>
          </cell>
          <cell r="AN72">
            <v>1.4621771744567196</v>
          </cell>
          <cell r="AO72">
            <v>1.9010782799233114E-17</v>
          </cell>
          <cell r="AP72">
            <v>9.2257142715478719E-29</v>
          </cell>
          <cell r="AR72">
            <v>1E-13</v>
          </cell>
          <cell r="AS72">
            <v>1E-13</v>
          </cell>
        </row>
        <row r="73">
          <cell r="Q73">
            <v>94.128334688007257</v>
          </cell>
          <cell r="AN73">
            <v>0.93432936825731439</v>
          </cell>
          <cell r="AO73">
            <v>2.6853444456585266E-18</v>
          </cell>
          <cell r="AP73">
            <v>1.8407720014690031E-29</v>
          </cell>
          <cell r="AR73">
            <v>1E-13</v>
          </cell>
          <cell r="AS73">
            <v>1E-13</v>
          </cell>
        </row>
        <row r="74">
          <cell r="Q74">
            <v>93.616478042130154</v>
          </cell>
          <cell r="AN74">
            <v>0.59703528658383687</v>
          </cell>
          <cell r="AO74">
            <v>3.7931498497368501E-19</v>
          </cell>
          <cell r="AP74">
            <v>3.6728230049809654E-30</v>
          </cell>
          <cell r="AR74">
            <v>1E-13</v>
          </cell>
          <cell r="AS74">
            <v>1E-13</v>
          </cell>
        </row>
        <row r="75">
          <cell r="Q75">
            <v>93.09178644773796</v>
          </cell>
          <cell r="AN75">
            <v>0.37975193897133308</v>
          </cell>
          <cell r="AO75">
            <v>5.3579665751334259E-20</v>
          </cell>
          <cell r="AP75">
            <v>7.3282453313892741E-31</v>
          </cell>
          <cell r="AR75">
            <v>1E-13</v>
          </cell>
          <cell r="AS75">
            <v>1E-13</v>
          </cell>
        </row>
        <row r="76">
          <cell r="Q76">
            <v>92.55502482840123</v>
          </cell>
          <cell r="AN76">
            <v>0.24154608344449421</v>
          </cell>
          <cell r="AO76">
            <v>7.5683289502097121E-21</v>
          </cell>
          <cell r="AP76">
            <v>1.4621771744567743E-31</v>
          </cell>
          <cell r="AR76">
            <v>1E-13</v>
          </cell>
          <cell r="AS76">
            <v>1E-13</v>
          </cell>
        </row>
        <row r="77">
          <cell r="Q77">
            <v>92.006933489990757</v>
          </cell>
          <cell r="AN77">
            <v>0.15014124057541381</v>
          </cell>
          <cell r="AO77">
            <v>1.0690548792226546E-21</v>
          </cell>
          <cell r="AP77">
            <v>2.9174270140012575E-32</v>
          </cell>
          <cell r="AR77">
            <v>1E-13</v>
          </cell>
          <cell r="AS77">
            <v>1E-13</v>
          </cell>
        </row>
        <row r="78">
          <cell r="Q78">
            <v>91.448228470105192</v>
          </cell>
          <cell r="AN78">
            <v>9.3325430079699179E-2</v>
          </cell>
          <cell r="AO78">
            <v>1.5100801541641343E-22</v>
          </cell>
          <cell r="AP78">
            <v>5.8210321777089337E-33</v>
          </cell>
          <cell r="AR78">
            <v>1E-13</v>
          </cell>
          <cell r="AS78">
            <v>1E-13</v>
          </cell>
        </row>
        <row r="79">
          <cell r="Q79">
            <v>90.879601915410078</v>
          </cell>
          <cell r="AN79">
            <v>5.7610281855985629E-2</v>
          </cell>
          <cell r="AO79">
            <v>2.133044913146559E-23</v>
          </cell>
          <cell r="AP79">
            <v>1.1614486138403944E-33</v>
          </cell>
          <cell r="AR79">
            <v>1E-13</v>
          </cell>
          <cell r="AS79">
            <v>1E-13</v>
          </cell>
        </row>
        <row r="80">
          <cell r="Q80">
            <v>90.301722483294412</v>
          </cell>
          <cell r="AN80">
            <v>3.5563131856898536E-2</v>
          </cell>
          <cell r="AO80">
            <v>3.013006024186078E-24</v>
          </cell>
          <cell r="AP80">
            <v>2.3173946499685642E-34</v>
          </cell>
          <cell r="AR80">
            <v>1E-13</v>
          </cell>
          <cell r="AS80">
            <v>1E-13</v>
          </cell>
        </row>
        <row r="81">
          <cell r="Q81">
            <v>89.715235764526966</v>
          </cell>
          <cell r="AN81">
            <v>2.2181964198002196E-2</v>
          </cell>
          <cell r="AO81">
            <v>4.2559841313373439E-25</v>
          </cell>
          <cell r="AP81">
            <v>4.6238102139928037E-35</v>
          </cell>
          <cell r="AR81">
            <v>1E-13</v>
          </cell>
          <cell r="AS81">
            <v>1E-13</v>
          </cell>
        </row>
        <row r="82">
          <cell r="Q82">
            <v>89.120764723848666</v>
          </cell>
          <cell r="AN82">
            <v>1.3835663789717817E-2</v>
          </cell>
          <cell r="AO82">
            <v>6.0117373748326645E-26</v>
          </cell>
          <cell r="AP82">
            <v>9.225714271547964E-36</v>
          </cell>
          <cell r="AR82">
            <v>1E-13</v>
          </cell>
          <cell r="AS82">
            <v>1E-13</v>
          </cell>
        </row>
        <row r="83">
          <cell r="Q83">
            <v>88.518910155681439</v>
          </cell>
          <cell r="AN83">
            <v>8.7297136838811167E-3</v>
          </cell>
          <cell r="AO83">
            <v>8.4918047503629214E-27</v>
          </cell>
          <cell r="AP83">
            <v>1.840772001469008E-36</v>
          </cell>
          <cell r="AR83">
            <v>1E-13</v>
          </cell>
          <cell r="AS83">
            <v>1E-13</v>
          </cell>
        </row>
        <row r="84">
          <cell r="Q84">
            <v>87.910251152360729</v>
          </cell>
          <cell r="AN84">
            <v>5.5080769640540352E-3</v>
          </cell>
          <cell r="AO84">
            <v>1.1994993031493411E-27</v>
          </cell>
          <cell r="AP84">
            <v>3.6728230049809232E-37</v>
          </cell>
          <cell r="AR84">
            <v>1E-13</v>
          </cell>
          <cell r="AS84">
            <v>1E-13</v>
          </cell>
        </row>
        <row r="85">
          <cell r="Q85">
            <v>87.295345582513633</v>
          </cell>
          <cell r="AN85">
            <v>3.4753616144320588E-3</v>
          </cell>
          <cell r="AO85">
            <v>1.6943378004472763E-28</v>
          </cell>
          <cell r="AP85">
            <v>7.3282453313891388E-38</v>
          </cell>
          <cell r="AR85">
            <v>1E-13</v>
          </cell>
          <cell r="AS85">
            <v>1E-13</v>
          </cell>
        </row>
        <row r="86">
          <cell r="Q86">
            <v>86.674730577402045</v>
          </cell>
          <cell r="AN86">
            <v>2.192804935350449E-3</v>
          </cell>
          <cell r="AO86">
            <v>2.3933157564052998E-29</v>
          </cell>
          <cell r="AP86">
            <v>1.4621771744567269E-38</v>
          </cell>
          <cell r="AR86">
            <v>1E-13</v>
          </cell>
          <cell r="AS86">
            <v>1E-13</v>
          </cell>
        </row>
        <row r="87">
          <cell r="Q87">
            <v>86.048923023240761</v>
          </cell>
          <cell r="AN87">
            <v>1.3835663789717812E-3</v>
          </cell>
          <cell r="AO87">
            <v>3.3806483620596956E-30</v>
          </cell>
          <cell r="AP87">
            <v>2.9174270140011621E-39</v>
          </cell>
          <cell r="AR87">
            <v>1E-13</v>
          </cell>
          <cell r="AS87">
            <v>1E-13</v>
          </cell>
        </row>
        <row r="88">
          <cell r="Q88">
            <v>85.418420057672876</v>
          </cell>
          <cell r="AN88">
            <v>8.7297136838811163E-4</v>
          </cell>
          <cell r="AO88">
            <v>4.7752927365767085E-31</v>
          </cell>
          <cell r="AP88">
            <v>5.8210321777086611E-40</v>
          </cell>
          <cell r="AR88">
            <v>1E-13</v>
          </cell>
          <cell r="AS88">
            <v>1E-13</v>
          </cell>
        </row>
        <row r="89">
          <cell r="Q89">
            <v>84.783699568749469</v>
          </cell>
          <cell r="AN89">
            <v>5.5080769640540334E-4</v>
          </cell>
          <cell r="AO89">
            <v>6.745280276978945E-32</v>
          </cell>
          <cell r="AP89">
            <v>1.1614486138403235E-40</v>
          </cell>
          <cell r="AR89">
            <v>1E-13</v>
          </cell>
          <cell r="AS89">
            <v>1E-13</v>
          </cell>
        </row>
        <row r="90">
          <cell r="Q90">
            <v>84.145220694913036</v>
          </cell>
          <cell r="AN90">
            <v>3.4753616144320577E-4</v>
          </cell>
          <cell r="AO90">
            <v>9.527961640236073E-33</v>
          </cell>
          <cell r="AP90">
            <v>2.3173946499684226E-41</v>
          </cell>
          <cell r="AR90">
            <v>1E-13</v>
          </cell>
          <cell r="AS90">
            <v>1E-13</v>
          </cell>
        </row>
        <row r="91">
          <cell r="Q91">
            <v>83.503424324625442</v>
          </cell>
          <cell r="AN91">
            <v>2.1928049353504478E-4</v>
          </cell>
          <cell r="AO91">
            <v>1.3458603540558772E-33</v>
          </cell>
          <cell r="AP91">
            <v>4.6238102139924564E-42</v>
          </cell>
          <cell r="AR91">
            <v>1E-13</v>
          </cell>
          <cell r="AS91">
            <v>1E-13</v>
          </cell>
        </row>
        <row r="92">
          <cell r="Q92">
            <v>82.858733594413067</v>
          </cell>
          <cell r="AN92">
            <v>1.3835663789717805E-4</v>
          </cell>
          <cell r="AO92">
            <v>1.9010782799231878E-34</v>
          </cell>
          <cell r="AP92">
            <v>9.2257142715472691E-43</v>
          </cell>
          <cell r="AR92">
            <v>1E-13</v>
          </cell>
          <cell r="AS92">
            <v>1E-13</v>
          </cell>
        </row>
        <row r="93">
          <cell r="Q93">
            <v>82.211554384226076</v>
          </cell>
          <cell r="AN93">
            <v>8.729713683881113E-5</v>
          </cell>
          <cell r="AO93">
            <v>2.6853444456583328E-35</v>
          </cell>
          <cell r="AP93">
            <v>1.84077200146887E-43</v>
          </cell>
          <cell r="AR93">
            <v>1E-13</v>
          </cell>
          <cell r="AS93">
            <v>1E-13</v>
          </cell>
        </row>
        <row r="94">
          <cell r="Q94">
            <v>81.56227580912001</v>
          </cell>
          <cell r="AN94">
            <v>5.5080769640540333E-5</v>
          </cell>
          <cell r="AO94">
            <v>3.793149849736603E-36</v>
          </cell>
          <cell r="AP94">
            <v>3.6728230049806994E-44</v>
          </cell>
          <cell r="AR94">
            <v>1E-13</v>
          </cell>
          <cell r="AS94">
            <v>1E-13</v>
          </cell>
        </row>
        <row r="95">
          <cell r="Q95">
            <v>80.911270706375959</v>
          </cell>
          <cell r="AN95">
            <v>3.475361614432058E-5</v>
          </cell>
          <cell r="AO95">
            <v>5.3579665751330789E-37</v>
          </cell>
          <cell r="AP95">
            <v>7.3282453313886915E-45</v>
          </cell>
          <cell r="AR95">
            <v>1E-13</v>
          </cell>
          <cell r="AS95">
            <v>1E-13</v>
          </cell>
        </row>
        <row r="96">
          <cell r="Q96">
            <v>80.258896117271235</v>
          </cell>
          <cell r="AN96">
            <v>2.1928049353504493E-5</v>
          </cell>
          <cell r="AO96">
            <v>7.5683289502093284E-38</v>
          </cell>
          <cell r="AP96">
            <v>1.4621771744566378E-45</v>
          </cell>
          <cell r="AR96">
            <v>1E-13</v>
          </cell>
          <cell r="AS96">
            <v>1E-13</v>
          </cell>
        </row>
        <row r="97">
          <cell r="Q97">
            <v>79.605493762804414</v>
          </cell>
          <cell r="AN97">
            <v>1.3835663789717806E-5</v>
          </cell>
          <cell r="AO97">
            <v>1.0690548792225928E-38</v>
          </cell>
          <cell r="AP97">
            <v>2.9174270140009843E-46</v>
          </cell>
          <cell r="AR97">
            <v>1E-13</v>
          </cell>
          <cell r="AS97">
            <v>1E-13</v>
          </cell>
        </row>
        <row r="98">
          <cell r="Q98">
            <v>78.951390512761094</v>
          </cell>
          <cell r="AN98">
            <v>8.7297136838811144E-6</v>
          </cell>
          <cell r="AO98">
            <v>1.5100801541640473E-39</v>
          </cell>
          <cell r="AP98">
            <v>5.8210321777083067E-47</v>
          </cell>
          <cell r="AR98">
            <v>1E-13</v>
          </cell>
          <cell r="AS98">
            <v>1E-13</v>
          </cell>
        </row>
        <row r="99">
          <cell r="Q99">
            <v>78.296898847583307</v>
          </cell>
          <cell r="AN99">
            <v>5.5080769640540353E-6</v>
          </cell>
          <cell r="AO99">
            <v>2.1330449131464203E-40</v>
          </cell>
          <cell r="AP99">
            <v>1.1614486138402526E-47</v>
          </cell>
          <cell r="AR99">
            <v>1E-13</v>
          </cell>
          <cell r="AS99">
            <v>1E-13</v>
          </cell>
        </row>
        <row r="100">
          <cell r="Q100">
            <v>77.64231731257847</v>
          </cell>
          <cell r="AN100">
            <v>3.4753616144320564E-6</v>
          </cell>
          <cell r="AO100">
            <v>3.0130060241858827E-41</v>
          </cell>
          <cell r="AP100">
            <v>2.3173946499682813E-48</v>
          </cell>
          <cell r="AR100">
            <v>1E-13</v>
          </cell>
          <cell r="AS100">
            <v>1E-13</v>
          </cell>
        </row>
        <row r="101">
          <cell r="Q101">
            <v>76.987930964065612</v>
          </cell>
          <cell r="AN101">
            <v>2.1928049353504457E-6</v>
          </cell>
          <cell r="AO101">
            <v>4.2559841313370679E-42</v>
          </cell>
          <cell r="AP101">
            <v>4.6238102139921743E-49</v>
          </cell>
          <cell r="AR101">
            <v>1E-13</v>
          </cell>
          <cell r="AS101">
            <v>1E-13</v>
          </cell>
        </row>
        <row r="102">
          <cell r="Q102">
            <v>76.334011807119865</v>
          </cell>
          <cell r="AN102">
            <v>1.3835663789717791E-6</v>
          </cell>
          <cell r="AO102">
            <v>6.0117373748323161E-43</v>
          </cell>
          <cell r="AP102">
            <v>9.225714271546705E-50</v>
          </cell>
          <cell r="AR102">
            <v>1E-13</v>
          </cell>
          <cell r="AS102">
            <v>1E-13</v>
          </cell>
        </row>
      </sheetData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ort_1" connectionId="3" xr16:uid="{01691D15-F505-4622-BD11-008110147CE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ort" connectionId="2" xr16:uid="{70AB3085-60FB-4C29-9500-42149911DC5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X114"/>
  <sheetViews>
    <sheetView topLeftCell="A82" workbookViewId="0">
      <selection activeCell="C103" sqref="C103"/>
    </sheetView>
  </sheetViews>
  <sheetFormatPr defaultColWidth="9.125" defaultRowHeight="14.4"/>
  <cols>
    <col min="1" max="1" width="19.125" style="191" bestFit="1" customWidth="1"/>
    <col min="2" max="2" width="17.25" style="191" bestFit="1" customWidth="1"/>
    <col min="3" max="3" width="18" style="191" bestFit="1" customWidth="1"/>
    <col min="4" max="17" width="8.25" style="191" customWidth="1"/>
    <col min="18" max="18" width="8.25" style="191" bestFit="1" customWidth="1"/>
    <col min="19" max="26" width="8.25" style="191" customWidth="1"/>
    <col min="27" max="27" width="16.625" style="191" customWidth="1"/>
    <col min="28" max="28" width="4" style="191" bestFit="1" customWidth="1"/>
    <col min="29" max="32" width="6.625" style="191" bestFit="1" customWidth="1"/>
    <col min="33" max="33" width="7.625" style="191" bestFit="1" customWidth="1"/>
    <col min="34" max="34" width="12.75" style="191" customWidth="1"/>
    <col min="35" max="35" width="16.625" style="191" customWidth="1"/>
    <col min="36" max="36" width="12.75" style="191" customWidth="1"/>
    <col min="37" max="37" width="16.625" style="191" customWidth="1"/>
    <col min="38" max="38" width="12.75" style="191" customWidth="1"/>
    <col min="39" max="39" width="16.625" style="191" customWidth="1"/>
    <col min="40" max="40" width="12.75" style="191" customWidth="1"/>
    <col min="41" max="41" width="16.625" style="191" customWidth="1"/>
    <col min="42" max="42" width="12.75" style="191" customWidth="1"/>
    <col min="43" max="43" width="16.625" style="191" customWidth="1"/>
    <col min="44" max="44" width="12.75" style="191" customWidth="1"/>
    <col min="45" max="45" width="16.625" style="191" customWidth="1"/>
    <col min="46" max="46" width="12.75" style="191" customWidth="1"/>
    <col min="47" max="47" width="16.625" style="191" customWidth="1"/>
    <col min="48" max="48" width="12.75" style="191" customWidth="1"/>
    <col min="49" max="76" width="8.25" style="191" customWidth="1"/>
    <col min="77" max="16384" width="9.125" style="191"/>
  </cols>
  <sheetData>
    <row r="1" spans="1:76" ht="15" thickBot="1">
      <c r="A1" s="190" t="s">
        <v>26</v>
      </c>
      <c r="B1" s="190" t="s">
        <v>124</v>
      </c>
      <c r="C1" s="190" t="s">
        <v>125</v>
      </c>
      <c r="D1" s="190" t="s">
        <v>126</v>
      </c>
      <c r="E1" s="190" t="s">
        <v>127</v>
      </c>
      <c r="F1" s="190" t="s">
        <v>128</v>
      </c>
      <c r="G1" s="190" t="s">
        <v>129</v>
      </c>
      <c r="H1" s="190" t="s">
        <v>130</v>
      </c>
      <c r="I1" s="190" t="s">
        <v>131</v>
      </c>
      <c r="J1" s="190" t="s">
        <v>132</v>
      </c>
      <c r="K1" s="190" t="s">
        <v>133</v>
      </c>
      <c r="L1" s="190" t="s">
        <v>134</v>
      </c>
      <c r="M1" s="190" t="s">
        <v>135</v>
      </c>
      <c r="N1" s="190" t="s">
        <v>136</v>
      </c>
      <c r="O1" s="190" t="s">
        <v>137</v>
      </c>
      <c r="P1" s="190" t="s">
        <v>138</v>
      </c>
      <c r="Q1" s="190" t="s">
        <v>139</v>
      </c>
      <c r="R1" s="190" t="s">
        <v>140</v>
      </c>
      <c r="S1" s="190" t="s">
        <v>141</v>
      </c>
      <c r="T1" s="190" t="s">
        <v>142</v>
      </c>
      <c r="U1" s="190" t="s">
        <v>143</v>
      </c>
      <c r="V1" s="190" t="s">
        <v>144</v>
      </c>
      <c r="W1" s="190" t="s">
        <v>145</v>
      </c>
      <c r="X1" s="190" t="s">
        <v>146</v>
      </c>
      <c r="Y1" s="190" t="s">
        <v>147</v>
      </c>
      <c r="Z1" s="190" t="s">
        <v>148</v>
      </c>
      <c r="AB1" s="263" t="s">
        <v>194</v>
      </c>
      <c r="AC1" s="264" t="s">
        <v>195</v>
      </c>
      <c r="AD1" s="264" t="s">
        <v>196</v>
      </c>
      <c r="AE1" s="264" t="s">
        <v>197</v>
      </c>
      <c r="AF1" s="265" t="s">
        <v>198</v>
      </c>
    </row>
    <row r="2" spans="1:76">
      <c r="A2" s="192">
        <v>340</v>
      </c>
      <c r="B2" s="192">
        <v>-1.8814399150799899E-5</v>
      </c>
      <c r="C2" s="192">
        <v>-3.2392496618333401E-6</v>
      </c>
      <c r="D2" s="192">
        <v>1.4859077411799899E-4</v>
      </c>
      <c r="E2" s="192">
        <v>-1.24764848333333E-5</v>
      </c>
      <c r="F2" s="192">
        <v>1.3532889231833299E-5</v>
      </c>
      <c r="G2" s="192">
        <v>-1.06641862410666E-4</v>
      </c>
      <c r="H2" s="192">
        <v>9.8765116502166604E-5</v>
      </c>
      <c r="I2" s="192">
        <v>-3.4771232241666602E-5</v>
      </c>
      <c r="J2" s="192">
        <v>2.5487565212066602E-5</v>
      </c>
      <c r="K2" s="192">
        <v>3.16491797206666E-5</v>
      </c>
      <c r="L2" s="192">
        <v>9.5876252895999906E-5</v>
      </c>
      <c r="M2" s="192">
        <v>3.0560538298999998E-5</v>
      </c>
      <c r="N2" s="192">
        <v>7.2447789532333303E-5</v>
      </c>
      <c r="O2" s="192">
        <v>5.0048280200666603E-5</v>
      </c>
      <c r="P2" s="192">
        <v>-7.4941158228166598E-5</v>
      </c>
      <c r="Q2" s="192">
        <v>-1.76488125481666E-5</v>
      </c>
      <c r="R2" s="192">
        <v>-3.8371497765166598E-5</v>
      </c>
      <c r="S2" s="192">
        <v>9.8598226866666593E-6</v>
      </c>
      <c r="T2" s="192">
        <v>-5.4438429565333299E-5</v>
      </c>
      <c r="U2" s="192">
        <v>1.06425235354666E-4</v>
      </c>
      <c r="V2" s="192">
        <v>-1.4099592348666601E-5</v>
      </c>
      <c r="W2" s="192">
        <v>-3.8353064779199898E-5</v>
      </c>
      <c r="X2" s="192">
        <v>-4.5527787258666602E-5</v>
      </c>
      <c r="Y2" s="192">
        <v>3.1046028244666602E-5</v>
      </c>
      <c r="Z2" s="192">
        <v>5.3356607135333303E-5</v>
      </c>
      <c r="AA2" s="192"/>
      <c r="AB2" s="266">
        <v>500</v>
      </c>
      <c r="AC2" s="267">
        <v>0.101227507910666</v>
      </c>
      <c r="AD2" s="267">
        <v>0.34587890624666601</v>
      </c>
      <c r="AE2" s="267">
        <v>0.92661045328000002</v>
      </c>
      <c r="AF2" s="268">
        <v>0.99995251970666599</v>
      </c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2"/>
      <c r="BF2" s="192"/>
      <c r="BG2" s="192"/>
      <c r="BH2" s="192"/>
      <c r="BI2" s="192"/>
      <c r="BJ2" s="192"/>
      <c r="BK2" s="192"/>
      <c r="BL2" s="192"/>
      <c r="BM2" s="192"/>
      <c r="BN2" s="192"/>
      <c r="BO2" s="192"/>
      <c r="BP2" s="192"/>
      <c r="BQ2" s="192"/>
      <c r="BR2" s="192"/>
      <c r="BS2" s="192"/>
      <c r="BT2" s="192"/>
      <c r="BU2" s="192"/>
      <c r="BV2" s="192"/>
      <c r="BW2" s="192"/>
      <c r="BX2" s="192"/>
    </row>
    <row r="3" spans="1:76">
      <c r="A3" s="192">
        <v>345</v>
      </c>
      <c r="B3" s="192">
        <v>-7.5453756310533295E-5</v>
      </c>
      <c r="C3" s="192">
        <v>6.8595347487333304E-5</v>
      </c>
      <c r="D3" s="192">
        <v>-4.3893592454066601E-5</v>
      </c>
      <c r="E3" s="192">
        <v>-3.2395415385466601E-5</v>
      </c>
      <c r="F3" s="192">
        <v>3.5873367765333303E-5</v>
      </c>
      <c r="G3" s="192">
        <v>-1.2764686568666599E-5</v>
      </c>
      <c r="H3" s="192">
        <v>-8.4227473785333305E-5</v>
      </c>
      <c r="I3" s="192">
        <v>-2.2476685546666601E-5</v>
      </c>
      <c r="J3" s="192">
        <v>-3.3846776190533302E-5</v>
      </c>
      <c r="K3" s="192">
        <v>2.35172747633333E-5</v>
      </c>
      <c r="L3" s="192">
        <v>3.8951347049066602E-5</v>
      </c>
      <c r="M3" s="192">
        <v>-3.8809565370666598E-5</v>
      </c>
      <c r="N3" s="192">
        <v>-8.0256985824666595E-5</v>
      </c>
      <c r="O3" s="192">
        <v>-6.0703057488000002E-5</v>
      </c>
      <c r="P3" s="192">
        <v>-5.9801001595600001E-5</v>
      </c>
      <c r="Q3" s="192">
        <v>-1.0003540345333301E-5</v>
      </c>
      <c r="R3" s="192">
        <v>2.2249498226666702E-6</v>
      </c>
      <c r="S3" s="192">
        <v>1.01677476425333E-4</v>
      </c>
      <c r="T3" s="192">
        <v>-1.8662649439266601E-4</v>
      </c>
      <c r="U3" s="192">
        <v>-1.015823405734E-4</v>
      </c>
      <c r="V3" s="192">
        <v>-4.4480907341466603E-5</v>
      </c>
      <c r="W3" s="192">
        <v>-6.8475782566666604E-5</v>
      </c>
      <c r="X3" s="192">
        <v>-1.2456165472666599E-5</v>
      </c>
      <c r="Y3" s="192">
        <v>2.4269280024000001E-5</v>
      </c>
      <c r="Z3" s="192">
        <v>1.5563450141333299E-5</v>
      </c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192"/>
      <c r="AQ3" s="192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2"/>
      <c r="BD3" s="192"/>
      <c r="BE3" s="192"/>
      <c r="BF3" s="192"/>
      <c r="BG3" s="192"/>
      <c r="BH3" s="192"/>
      <c r="BI3" s="192"/>
      <c r="BJ3" s="192"/>
      <c r="BK3" s="192"/>
      <c r="BL3" s="192"/>
      <c r="BM3" s="192"/>
      <c r="BN3" s="192"/>
      <c r="BO3" s="192"/>
      <c r="BP3" s="192"/>
      <c r="BQ3" s="192"/>
      <c r="BR3" s="192"/>
      <c r="BS3" s="192"/>
      <c r="BT3" s="192"/>
      <c r="BU3" s="192"/>
      <c r="BV3" s="192"/>
      <c r="BW3" s="192"/>
      <c r="BX3" s="192"/>
    </row>
    <row r="4" spans="1:76">
      <c r="A4" s="192">
        <v>350</v>
      </c>
      <c r="B4" s="192">
        <v>2.0255403407066599E-4</v>
      </c>
      <c r="C4" s="192">
        <v>1.86264303464066E-4</v>
      </c>
      <c r="D4" s="192">
        <v>2.2759836570733301E-4</v>
      </c>
      <c r="E4" s="192">
        <v>2.4219878511594101E-4</v>
      </c>
      <c r="F4" s="192">
        <v>1.50366099480666E-4</v>
      </c>
      <c r="G4" s="192">
        <v>3.9430364283266599E-4</v>
      </c>
      <c r="H4" s="192">
        <v>1.3240263129733301E-4</v>
      </c>
      <c r="I4" s="192">
        <v>1.7849242284866601E-4</v>
      </c>
      <c r="J4" s="192">
        <v>1.7226007780399901E-4</v>
      </c>
      <c r="K4" s="192">
        <v>2.9300290346400001E-4</v>
      </c>
      <c r="L4" s="192">
        <v>3.2871878720566597E-4</v>
      </c>
      <c r="M4" s="192">
        <v>1.00685497713266E-4</v>
      </c>
      <c r="N4" s="192">
        <v>2.3313457952599899E-4</v>
      </c>
      <c r="O4" s="192">
        <v>3.032675114095E-4</v>
      </c>
      <c r="P4" s="192">
        <v>3.0793417493533298E-4</v>
      </c>
      <c r="Q4" s="192">
        <v>2.30358241217293E-4</v>
      </c>
      <c r="R4" s="192">
        <v>1.4442098808133301E-4</v>
      </c>
      <c r="S4" s="192">
        <v>1.08844103905333E-4</v>
      </c>
      <c r="T4" s="192">
        <v>1.3532392804800001E-4</v>
      </c>
      <c r="U4" s="192">
        <v>1.18291062273133E-4</v>
      </c>
      <c r="V4" s="192">
        <v>2.6296244747266601E-4</v>
      </c>
      <c r="W4" s="192">
        <v>2.6310507176266598E-4</v>
      </c>
      <c r="X4" s="192">
        <v>2.87583200880666E-4</v>
      </c>
      <c r="Y4" s="192">
        <v>2.2461290268000001E-4</v>
      </c>
      <c r="Z4" s="192">
        <v>2.12150196238166E-4</v>
      </c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192"/>
      <c r="AQ4" s="192"/>
      <c r="AR4" s="192"/>
      <c r="AS4" s="192"/>
      <c r="AT4" s="192"/>
      <c r="AU4" s="192"/>
      <c r="AV4" s="192"/>
      <c r="AW4" s="192"/>
      <c r="AX4" s="192"/>
      <c r="AY4" s="192"/>
      <c r="AZ4" s="192"/>
      <c r="BA4" s="192"/>
      <c r="BB4" s="192"/>
      <c r="BC4" s="192"/>
      <c r="BD4" s="192"/>
      <c r="BE4" s="192"/>
      <c r="BF4" s="192"/>
      <c r="BG4" s="192"/>
      <c r="BH4" s="192"/>
      <c r="BI4" s="192"/>
      <c r="BJ4" s="192"/>
      <c r="BK4" s="192"/>
      <c r="BL4" s="192"/>
      <c r="BM4" s="192"/>
      <c r="BN4" s="192"/>
      <c r="BO4" s="192"/>
      <c r="BP4" s="192"/>
      <c r="BQ4" s="192"/>
      <c r="BR4" s="192"/>
      <c r="BS4" s="192"/>
      <c r="BT4" s="192"/>
      <c r="BU4" s="192"/>
      <c r="BV4" s="192"/>
      <c r="BW4" s="192"/>
      <c r="BX4" s="192"/>
    </row>
    <row r="5" spans="1:76">
      <c r="A5" s="192">
        <v>355</v>
      </c>
      <c r="B5" s="192">
        <v>-1.09610000789999E-4</v>
      </c>
      <c r="C5" s="192">
        <v>-1.48321964493333E-5</v>
      </c>
      <c r="D5" s="192">
        <v>1.8772932236E-5</v>
      </c>
      <c r="E5" s="192">
        <v>-1.21967383660666E-4</v>
      </c>
      <c r="F5" s="192">
        <v>4.9990075536626603E-5</v>
      </c>
      <c r="G5" s="192">
        <v>-5.2037745711999898E-5</v>
      </c>
      <c r="H5" s="192">
        <v>-5.7360382518333299E-5</v>
      </c>
      <c r="I5" s="192">
        <v>6.0780167421333298E-5</v>
      </c>
      <c r="J5" s="192">
        <v>4.4283802308499899E-5</v>
      </c>
      <c r="K5" s="192">
        <v>-6.9367570025999901E-5</v>
      </c>
      <c r="L5" s="192">
        <v>-1.93191821079999E-5</v>
      </c>
      <c r="M5" s="192">
        <v>-4.8937934278333301E-6</v>
      </c>
      <c r="N5" s="192">
        <v>-1.4767641808199899E-4</v>
      </c>
      <c r="O5" s="192">
        <v>-3.9332440721333298E-5</v>
      </c>
      <c r="P5" s="192">
        <v>1.6805511514466599E-5</v>
      </c>
      <c r="Q5" s="192">
        <v>7.6769562473333301E-6</v>
      </c>
      <c r="R5" s="192">
        <v>-7.9966077581333298E-5</v>
      </c>
      <c r="S5" s="192">
        <v>-1.21837934393333E-4</v>
      </c>
      <c r="T5" s="192">
        <v>-6.1770662653333301E-5</v>
      </c>
      <c r="U5" s="192">
        <v>-3.5627772398000001E-5</v>
      </c>
      <c r="V5" s="192">
        <v>-2.5151396860999901E-5</v>
      </c>
      <c r="W5" s="192">
        <v>-4.0904404913333298E-5</v>
      </c>
      <c r="X5" s="192">
        <v>5.0156214279999898E-5</v>
      </c>
      <c r="Y5" s="192">
        <v>-7.3765118990000005E-5</v>
      </c>
      <c r="Z5" s="192">
        <v>-1.6991648477066601E-5</v>
      </c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192"/>
      <c r="AQ5" s="192"/>
      <c r="AR5" s="192"/>
      <c r="AS5" s="192"/>
      <c r="AT5" s="192"/>
      <c r="AU5" s="192"/>
      <c r="AV5" s="192"/>
      <c r="AW5" s="192"/>
      <c r="AX5" s="192"/>
      <c r="AY5" s="192"/>
      <c r="AZ5" s="192"/>
      <c r="BA5" s="192"/>
      <c r="BB5" s="192"/>
      <c r="BC5" s="192"/>
      <c r="BD5" s="192"/>
      <c r="BE5" s="192"/>
      <c r="BF5" s="192"/>
      <c r="BG5" s="192"/>
      <c r="BH5" s="192"/>
      <c r="BI5" s="192"/>
      <c r="BJ5" s="192"/>
      <c r="BK5" s="192"/>
      <c r="BL5" s="192"/>
      <c r="BM5" s="192"/>
      <c r="BN5" s="192"/>
      <c r="BO5" s="192"/>
      <c r="BP5" s="192"/>
      <c r="BQ5" s="192"/>
      <c r="BR5" s="192"/>
      <c r="BS5" s="192"/>
      <c r="BT5" s="192"/>
      <c r="BU5" s="192"/>
      <c r="BV5" s="192"/>
      <c r="BW5" s="192"/>
      <c r="BX5" s="192"/>
    </row>
    <row r="6" spans="1:76">
      <c r="A6" s="192">
        <v>360</v>
      </c>
      <c r="B6" s="192">
        <v>5.3196615858666598E-5</v>
      </c>
      <c r="C6" s="192">
        <v>1.3680087180199899E-4</v>
      </c>
      <c r="D6" s="192">
        <v>1.7254344194666602E-5</v>
      </c>
      <c r="E6" s="192">
        <v>1.00903068206666E-4</v>
      </c>
      <c r="F6" s="192">
        <v>5.9470738399600001E-5</v>
      </c>
      <c r="G6" s="192">
        <v>2.5832033081333299E-5</v>
      </c>
      <c r="H6" s="192">
        <v>2.6023976805999901E-5</v>
      </c>
      <c r="I6" s="192">
        <v>5.9340225219999901E-5</v>
      </c>
      <c r="J6" s="192">
        <v>5.9746985625333303E-5</v>
      </c>
      <c r="K6" s="192">
        <v>2.2507405612733301E-5</v>
      </c>
      <c r="L6" s="192">
        <v>3.8033230533333302E-5</v>
      </c>
      <c r="M6" s="192">
        <v>-2.6467616674666599E-5</v>
      </c>
      <c r="N6" s="192">
        <v>5.4144078551999902E-5</v>
      </c>
      <c r="O6" s="192">
        <v>2.6017327029999999E-5</v>
      </c>
      <c r="P6" s="192">
        <v>1.0910427400066601E-4</v>
      </c>
      <c r="Q6" s="192">
        <v>4.7629195253333298E-5</v>
      </c>
      <c r="R6" s="192">
        <v>8.5473742799533294E-5</v>
      </c>
      <c r="S6" s="192">
        <v>6.0633153069333298E-5</v>
      </c>
      <c r="T6" s="192">
        <v>7.2021163682933303E-5</v>
      </c>
      <c r="U6" s="192">
        <v>1.4393476924533301E-4</v>
      </c>
      <c r="V6" s="192">
        <v>6.0178809488666601E-5</v>
      </c>
      <c r="W6" s="192">
        <v>3.53096324626666E-5</v>
      </c>
      <c r="X6" s="192">
        <v>2.67565568633333E-5</v>
      </c>
      <c r="Y6" s="192">
        <v>3.9156744882666598E-5</v>
      </c>
      <c r="Z6" s="192">
        <v>4.1749875977333303E-5</v>
      </c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  <c r="AX6" s="192"/>
      <c r="AY6" s="192"/>
      <c r="AZ6" s="192"/>
      <c r="BA6" s="192"/>
      <c r="BB6" s="192"/>
      <c r="BC6" s="192"/>
      <c r="BD6" s="192"/>
      <c r="BE6" s="192"/>
      <c r="BF6" s="192"/>
      <c r="BG6" s="192"/>
      <c r="BH6" s="192"/>
      <c r="BI6" s="192"/>
      <c r="BJ6" s="192"/>
      <c r="BK6" s="192"/>
      <c r="BL6" s="192"/>
      <c r="BM6" s="192"/>
      <c r="BN6" s="192"/>
      <c r="BO6" s="192"/>
      <c r="BP6" s="192"/>
      <c r="BQ6" s="192"/>
      <c r="BR6" s="192"/>
      <c r="BS6" s="192"/>
      <c r="BT6" s="192"/>
      <c r="BU6" s="192"/>
      <c r="BV6" s="192"/>
      <c r="BW6" s="192"/>
      <c r="BX6" s="192"/>
    </row>
    <row r="7" spans="1:76">
      <c r="A7" s="192">
        <v>365</v>
      </c>
      <c r="B7" s="192">
        <v>-6.6301081353939902E-5</v>
      </c>
      <c r="C7" s="192">
        <v>-8.7480920375333302E-5</v>
      </c>
      <c r="D7" s="192">
        <v>-4.1167755918666597E-5</v>
      </c>
      <c r="E7" s="192">
        <v>-8.8549864482000005E-5</v>
      </c>
      <c r="F7" s="192">
        <v>-9.4795185995666496E-6</v>
      </c>
      <c r="G7" s="192">
        <v>-4.22052186865066E-5</v>
      </c>
      <c r="H7" s="192">
        <v>-1.12771352121599E-4</v>
      </c>
      <c r="I7" s="192">
        <v>-1.5838020343046601E-4</v>
      </c>
      <c r="J7" s="192">
        <v>-4.0609580619133302E-5</v>
      </c>
      <c r="K7" s="192">
        <v>-8.1370663854533304E-5</v>
      </c>
      <c r="L7" s="192">
        <v>-2.0764129517999899E-4</v>
      </c>
      <c r="M7" s="192">
        <v>-1.03123275285666E-4</v>
      </c>
      <c r="N7" s="192">
        <v>-1.2619850371153299E-4</v>
      </c>
      <c r="O7" s="192">
        <v>-1.2534426465199899E-4</v>
      </c>
      <c r="P7" s="192">
        <v>-1.4926742917066601E-4</v>
      </c>
      <c r="Q7" s="192">
        <v>-1.8142050862066599E-4</v>
      </c>
      <c r="R7" s="192">
        <v>-2.216266318784E-4</v>
      </c>
      <c r="S7" s="192">
        <v>-1.2987489161299899E-4</v>
      </c>
      <c r="T7" s="192">
        <v>-1.31534648039733E-4</v>
      </c>
      <c r="U7" s="192">
        <v>-9.1709174372333303E-5</v>
      </c>
      <c r="V7" s="192">
        <v>-1.3689616233326601E-4</v>
      </c>
      <c r="W7" s="192">
        <v>-4.3121746429333303E-5</v>
      </c>
      <c r="X7" s="192">
        <v>-1.57952583089999E-4</v>
      </c>
      <c r="Y7" s="192">
        <v>-6.6096234252666607E-5</v>
      </c>
      <c r="Z7" s="192">
        <v>-1.2334732046665001E-7</v>
      </c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2"/>
      <c r="AT7" s="192"/>
      <c r="AU7" s="192"/>
      <c r="AV7" s="192"/>
      <c r="AW7" s="192"/>
      <c r="AX7" s="192"/>
      <c r="AY7" s="192"/>
      <c r="AZ7" s="192"/>
      <c r="BA7" s="192"/>
      <c r="BB7" s="192"/>
      <c r="BC7" s="192"/>
      <c r="BD7" s="192"/>
      <c r="BE7" s="192"/>
      <c r="BF7" s="192"/>
      <c r="BG7" s="192"/>
      <c r="BH7" s="192"/>
      <c r="BI7" s="192"/>
      <c r="BJ7" s="192"/>
      <c r="BK7" s="192"/>
      <c r="BL7" s="192"/>
      <c r="BM7" s="192"/>
      <c r="BN7" s="192"/>
      <c r="BO7" s="192"/>
      <c r="BP7" s="192"/>
      <c r="BQ7" s="192"/>
      <c r="BR7" s="192"/>
      <c r="BS7" s="192"/>
      <c r="BT7" s="192"/>
      <c r="BU7" s="192"/>
      <c r="BV7" s="192"/>
      <c r="BW7" s="192"/>
      <c r="BX7" s="192"/>
    </row>
    <row r="8" spans="1:76">
      <c r="A8" s="192">
        <v>370</v>
      </c>
      <c r="B8" s="192">
        <v>9.3895906275333297E-5</v>
      </c>
      <c r="C8" s="192">
        <v>4.12915011957333E-5</v>
      </c>
      <c r="D8" s="192">
        <v>-1.32577381388666E-4</v>
      </c>
      <c r="E8" s="192">
        <v>-1.00972329117333E-4</v>
      </c>
      <c r="F8" s="192">
        <v>-2.0735159504666599E-5</v>
      </c>
      <c r="G8" s="192">
        <v>3.2044822184399901E-5</v>
      </c>
      <c r="H8" s="192">
        <v>-1.3429690613740001E-4</v>
      </c>
      <c r="I8" s="192">
        <v>4.9084538061466597E-5</v>
      </c>
      <c r="J8" s="192">
        <v>6.93281029546666E-5</v>
      </c>
      <c r="K8" s="192">
        <v>-1.64949737535333E-4</v>
      </c>
      <c r="L8" s="192">
        <v>-3.4419498708666598E-5</v>
      </c>
      <c r="M8" s="192">
        <v>1.9144675687999901E-5</v>
      </c>
      <c r="N8" s="192">
        <v>-4.3180175699866599E-5</v>
      </c>
      <c r="O8" s="192">
        <v>-1.32067217580666E-4</v>
      </c>
      <c r="P8" s="192">
        <v>-2.9716949998666601E-5</v>
      </c>
      <c r="Q8" s="192">
        <v>-1.11883609863999E-4</v>
      </c>
      <c r="R8" s="192">
        <v>-1.80481851718E-4</v>
      </c>
      <c r="S8" s="192">
        <v>-1.17656576123333E-4</v>
      </c>
      <c r="T8" s="192">
        <v>-1.03597477076666E-4</v>
      </c>
      <c r="U8" s="192">
        <v>2.0462289468666601E-5</v>
      </c>
      <c r="V8" s="192">
        <v>-4.0226822377333303E-5</v>
      </c>
      <c r="W8" s="192">
        <v>-7.7714865554666604E-5</v>
      </c>
      <c r="X8" s="192">
        <v>3.9235187719999897E-5</v>
      </c>
      <c r="Y8" s="192">
        <v>8.5609257530599896E-6</v>
      </c>
      <c r="Z8" s="192">
        <v>-1.03654249958666E-5</v>
      </c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2"/>
      <c r="AQ8" s="192"/>
      <c r="AR8" s="192"/>
      <c r="AS8" s="192"/>
      <c r="AT8" s="192"/>
      <c r="AU8" s="192"/>
      <c r="AV8" s="192"/>
      <c r="AW8" s="192"/>
      <c r="AX8" s="192"/>
      <c r="AY8" s="192"/>
      <c r="AZ8" s="192"/>
      <c r="BA8" s="192"/>
      <c r="BB8" s="192"/>
      <c r="BC8" s="192"/>
      <c r="BD8" s="192"/>
      <c r="BE8" s="192"/>
      <c r="BF8" s="192"/>
      <c r="BG8" s="192"/>
      <c r="BH8" s="192"/>
      <c r="BI8" s="192"/>
      <c r="BJ8" s="192"/>
      <c r="BK8" s="192"/>
      <c r="BL8" s="192"/>
      <c r="BM8" s="192"/>
      <c r="BN8" s="192"/>
      <c r="BO8" s="192"/>
      <c r="BP8" s="192"/>
      <c r="BQ8" s="192"/>
      <c r="BR8" s="192"/>
      <c r="BS8" s="192"/>
      <c r="BT8" s="192"/>
      <c r="BU8" s="192"/>
      <c r="BV8" s="192"/>
      <c r="BW8" s="192"/>
      <c r="BX8" s="192"/>
    </row>
    <row r="9" spans="1:76">
      <c r="A9" s="192">
        <v>375</v>
      </c>
      <c r="B9" s="192">
        <v>-1.43972247085066E-4</v>
      </c>
      <c r="C9" s="192">
        <v>-1.8752609140399999E-4</v>
      </c>
      <c r="D9" s="192">
        <v>-2.31447005917999E-4</v>
      </c>
      <c r="E9" s="192">
        <v>-2.6269805118666597E-4</v>
      </c>
      <c r="F9" s="192">
        <v>-3.2813526257517299E-4</v>
      </c>
      <c r="G9" s="192">
        <v>-2.9467272496666602E-4</v>
      </c>
      <c r="H9" s="192">
        <v>-1.23635465618666E-4</v>
      </c>
      <c r="I9" s="192">
        <v>-3.49369620846666E-4</v>
      </c>
      <c r="J9" s="192">
        <v>-3.0270652848666599E-5</v>
      </c>
      <c r="K9" s="192">
        <v>-1.41125638202533E-4</v>
      </c>
      <c r="L9" s="192">
        <v>-2.5427505254933298E-4</v>
      </c>
      <c r="M9" s="192">
        <v>-3.0619273955066599E-4</v>
      </c>
      <c r="N9" s="192">
        <v>-2.7999413513406598E-4</v>
      </c>
      <c r="O9" s="192">
        <v>-2.19864875742666E-4</v>
      </c>
      <c r="P9" s="192">
        <v>-1.8967010992399999E-4</v>
      </c>
      <c r="Q9" s="192">
        <v>-1.9831548042799899E-4</v>
      </c>
      <c r="R9" s="192">
        <v>-3.82626746732666E-4</v>
      </c>
      <c r="S9" s="192">
        <v>-2.5478649199800002E-4</v>
      </c>
      <c r="T9" s="192">
        <v>-1.49580062995333E-4</v>
      </c>
      <c r="U9" s="192">
        <v>-1.7938976117466601E-4</v>
      </c>
      <c r="V9" s="192">
        <v>-2.47378240208E-4</v>
      </c>
      <c r="W9" s="192">
        <v>-3.8320213580900003E-4</v>
      </c>
      <c r="X9" s="192">
        <v>-1.94050671614333E-4</v>
      </c>
      <c r="Y9" s="192">
        <v>-1.22035399669399E-4</v>
      </c>
      <c r="Z9" s="192">
        <v>-2.9089558673266598E-4</v>
      </c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</row>
    <row r="10" spans="1:76">
      <c r="A10" s="192">
        <v>380</v>
      </c>
      <c r="B10" s="192">
        <v>3.4437642526999898E-4</v>
      </c>
      <c r="C10" s="192">
        <v>1.0997370506799901E-4</v>
      </c>
      <c r="D10" s="192">
        <v>8.8487254136666594E-5</v>
      </c>
      <c r="E10" s="192">
        <v>1.6533633989066599E-4</v>
      </c>
      <c r="F10" s="192">
        <v>2.36707842586666E-4</v>
      </c>
      <c r="G10" s="192">
        <v>1.17373606027999E-4</v>
      </c>
      <c r="H10" s="192">
        <v>2.6335240269613301E-4</v>
      </c>
      <c r="I10" s="192">
        <v>3.6181973008666597E-5</v>
      </c>
      <c r="J10" s="192">
        <v>2.6910883887333299E-4</v>
      </c>
      <c r="K10" s="192">
        <v>3.0227212744966602E-4</v>
      </c>
      <c r="L10" s="192">
        <v>2.1838230871666601E-4</v>
      </c>
      <c r="M10" s="192">
        <v>1.5504535816399901E-4</v>
      </c>
      <c r="N10" s="192">
        <v>1.8232098377399901E-4</v>
      </c>
      <c r="O10" s="192">
        <v>6.3677100776666601E-5</v>
      </c>
      <c r="P10" s="192">
        <v>1.4247318198499901E-4</v>
      </c>
      <c r="Q10" s="192">
        <v>2.6008167675866599E-4</v>
      </c>
      <c r="R10" s="192">
        <v>1.5759385097866601E-4</v>
      </c>
      <c r="S10" s="192">
        <v>1.24960524965333E-4</v>
      </c>
      <c r="T10" s="192">
        <v>2.3155578797693301E-4</v>
      </c>
      <c r="U10" s="192">
        <v>2.3700841269199899E-4</v>
      </c>
      <c r="V10" s="192">
        <v>8.6303531559599997E-5</v>
      </c>
      <c r="W10" s="192">
        <v>1.9105878876799899E-4</v>
      </c>
      <c r="X10" s="192">
        <v>3.0679750907800001E-4</v>
      </c>
      <c r="Y10" s="192">
        <v>1.313837974502E-4</v>
      </c>
      <c r="Z10" s="192">
        <v>8.4873297562666604E-5</v>
      </c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192"/>
    </row>
    <row r="11" spans="1:76">
      <c r="A11" s="192">
        <v>385</v>
      </c>
      <c r="B11" s="192">
        <v>4.8889030112266604E-4</v>
      </c>
      <c r="C11" s="192">
        <v>2.9536976259066599E-4</v>
      </c>
      <c r="D11" s="192">
        <v>2.5562327200000001E-5</v>
      </c>
      <c r="E11" s="192">
        <v>1.8626769072386601E-4</v>
      </c>
      <c r="F11" s="192">
        <v>1.46217623573999E-4</v>
      </c>
      <c r="G11" s="192">
        <v>1.3230888344133301E-4</v>
      </c>
      <c r="H11" s="192">
        <v>1.8424625990853301E-4</v>
      </c>
      <c r="I11" s="192">
        <v>2.0421978273066601E-4</v>
      </c>
      <c r="J11" s="192">
        <v>4.7254810019866598E-4</v>
      </c>
      <c r="K11" s="192">
        <v>2.9657115399799901E-4</v>
      </c>
      <c r="L11" s="192">
        <v>2.8474336539593297E-4</v>
      </c>
      <c r="M11" s="192">
        <v>1.5020034135733299E-4</v>
      </c>
      <c r="N11" s="192">
        <v>1.87271434513333E-5</v>
      </c>
      <c r="O11" s="192">
        <v>-2.53485482321333E-5</v>
      </c>
      <c r="P11" s="192">
        <v>8.2472963060599902E-5</v>
      </c>
      <c r="Q11" s="192">
        <v>2.2436751471533299E-4</v>
      </c>
      <c r="R11" s="192">
        <v>1.5059834571866601E-4</v>
      </c>
      <c r="S11" s="192">
        <v>1.9164369203619901E-4</v>
      </c>
      <c r="T11" s="192">
        <v>1.23274727716266E-4</v>
      </c>
      <c r="U11" s="192">
        <v>2.03449115615333E-4</v>
      </c>
      <c r="V11" s="192">
        <v>3.6592595184800001E-4</v>
      </c>
      <c r="W11" s="192">
        <v>1.84948172880999E-4</v>
      </c>
      <c r="X11" s="192">
        <v>1.27758052116666E-4</v>
      </c>
      <c r="Y11" s="192">
        <v>2.1301616875006601E-4</v>
      </c>
      <c r="Z11" s="192">
        <v>7.6459242952666605E-5</v>
      </c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/>
      <c r="BO11" s="192"/>
      <c r="BP11" s="192"/>
      <c r="BQ11" s="192"/>
      <c r="BR11" s="192"/>
      <c r="BS11" s="192"/>
      <c r="BT11" s="192"/>
      <c r="BU11" s="192"/>
      <c r="BV11" s="192"/>
      <c r="BW11" s="192"/>
      <c r="BX11" s="192"/>
    </row>
    <row r="12" spans="1:76">
      <c r="A12" s="192">
        <v>390</v>
      </c>
      <c r="B12" s="192">
        <v>3.1810782801200001E-3</v>
      </c>
      <c r="C12" s="192">
        <v>9.3783535056000001E-4</v>
      </c>
      <c r="D12" s="192">
        <v>8.4514875086000004E-4</v>
      </c>
      <c r="E12" s="192">
        <v>1.72358091665333E-3</v>
      </c>
      <c r="F12" s="192">
        <v>6.8954903385333303E-4</v>
      </c>
      <c r="G12" s="192">
        <v>3.7752815307399897E-4</v>
      </c>
      <c r="H12" s="192">
        <v>9.2296244949999901E-4</v>
      </c>
      <c r="I12" s="192">
        <v>9.7966520611466592E-4</v>
      </c>
      <c r="J12" s="192">
        <v>3.3266501725999998E-3</v>
      </c>
      <c r="K12" s="192">
        <v>2.5219606460199898E-3</v>
      </c>
      <c r="L12" s="192">
        <v>1.8912773876866599E-3</v>
      </c>
      <c r="M12" s="192">
        <v>1.16491301857333E-3</v>
      </c>
      <c r="N12" s="192">
        <v>5.95385558853333E-4</v>
      </c>
      <c r="O12" s="192">
        <v>6.6582433916266602E-4</v>
      </c>
      <c r="P12" s="192">
        <v>8.1211660060666595E-4</v>
      </c>
      <c r="Q12" s="192">
        <v>1.33454207081333E-3</v>
      </c>
      <c r="R12" s="192">
        <v>7.4237297384533297E-4</v>
      </c>
      <c r="S12" s="192">
        <v>4.17502547000666E-4</v>
      </c>
      <c r="T12" s="192">
        <v>1.33272040390666E-3</v>
      </c>
      <c r="U12" s="192">
        <v>1.5967196821799999E-3</v>
      </c>
      <c r="V12" s="192">
        <v>1.7357590745333299E-3</v>
      </c>
      <c r="W12" s="192">
        <v>7.1193002286666597E-4</v>
      </c>
      <c r="X12" s="192">
        <v>1.3756034337599899E-3</v>
      </c>
      <c r="Y12" s="192">
        <v>1.6306361779266599E-3</v>
      </c>
      <c r="Z12" s="192">
        <v>8.1138778726666603E-4</v>
      </c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192"/>
      <c r="BJ12" s="192"/>
      <c r="BK12" s="192"/>
      <c r="BL12" s="192"/>
      <c r="BM12" s="192"/>
      <c r="BN12" s="192"/>
      <c r="BO12" s="192"/>
      <c r="BP12" s="192"/>
      <c r="BQ12" s="192"/>
      <c r="BR12" s="192"/>
      <c r="BS12" s="192"/>
      <c r="BT12" s="192"/>
      <c r="BU12" s="192"/>
      <c r="BV12" s="192"/>
      <c r="BW12" s="192"/>
      <c r="BX12" s="192"/>
    </row>
    <row r="13" spans="1:76">
      <c r="A13" s="192">
        <v>395</v>
      </c>
      <c r="B13" s="192">
        <v>3.1106112956666598E-2</v>
      </c>
      <c r="C13" s="192">
        <v>9.4926012949999895E-3</v>
      </c>
      <c r="D13" s="192">
        <v>6.8519367777333303E-3</v>
      </c>
      <c r="E13" s="192">
        <v>1.7238905590066599E-2</v>
      </c>
      <c r="F13" s="192">
        <v>6.5384630453999898E-3</v>
      </c>
      <c r="G13" s="192">
        <v>3.46819724139999E-3</v>
      </c>
      <c r="H13" s="192">
        <v>8.9337194559333307E-3</v>
      </c>
      <c r="I13" s="192">
        <v>9.3799329597333298E-3</v>
      </c>
      <c r="J13" s="192">
        <v>3.0713673431999901E-2</v>
      </c>
      <c r="K13" s="192">
        <v>2.4430606086466598E-2</v>
      </c>
      <c r="L13" s="192">
        <v>1.83377283811333E-2</v>
      </c>
      <c r="M13" s="192">
        <v>1.1084497391E-2</v>
      </c>
      <c r="N13" s="192">
        <v>5.93658894293333E-3</v>
      </c>
      <c r="O13" s="192">
        <v>5.4364322621999897E-3</v>
      </c>
      <c r="P13" s="192">
        <v>7.4539995190666597E-3</v>
      </c>
      <c r="Q13" s="192">
        <v>1.2301820297933299E-2</v>
      </c>
      <c r="R13" s="192">
        <v>7.4858539104666602E-3</v>
      </c>
      <c r="S13" s="192">
        <v>4.0614433784000002E-3</v>
      </c>
      <c r="T13" s="192">
        <v>1.28295458758E-2</v>
      </c>
      <c r="U13" s="192">
        <v>1.5910705565933301E-2</v>
      </c>
      <c r="V13" s="192">
        <v>1.8041985511866601E-2</v>
      </c>
      <c r="W13" s="192">
        <v>6.6083932918666599E-3</v>
      </c>
      <c r="X13" s="192">
        <v>1.3692553579466599E-2</v>
      </c>
      <c r="Y13" s="192">
        <v>1.5202483773333299E-2</v>
      </c>
      <c r="Z13" s="192">
        <v>7.1087627811333301E-3</v>
      </c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2"/>
      <c r="BN13" s="192"/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</row>
    <row r="14" spans="1:76">
      <c r="A14" s="192">
        <v>400</v>
      </c>
      <c r="B14" s="192">
        <v>0.14739572206066601</v>
      </c>
      <c r="C14" s="192">
        <v>4.6565608023999998E-2</v>
      </c>
      <c r="D14" s="192">
        <v>2.6150053103999898E-2</v>
      </c>
      <c r="E14" s="192">
        <v>7.3683630939999994E-2</v>
      </c>
      <c r="F14" s="192">
        <v>2.6975594281333299E-2</v>
      </c>
      <c r="G14" s="192">
        <v>1.13075911605999E-2</v>
      </c>
      <c r="H14" s="192">
        <v>4.344265445E-2</v>
      </c>
      <c r="I14" s="192">
        <v>4.0479265371999897E-2</v>
      </c>
      <c r="J14" s="192">
        <v>0.143407718974666</v>
      </c>
      <c r="K14" s="192">
        <v>0.112046237312666</v>
      </c>
      <c r="L14" s="192">
        <v>8.2638201398666594E-2</v>
      </c>
      <c r="M14" s="192">
        <v>4.55005118053333E-2</v>
      </c>
      <c r="N14" s="192">
        <v>2.1807077170000001E-2</v>
      </c>
      <c r="O14" s="192">
        <v>1.9320991596666601E-2</v>
      </c>
      <c r="P14" s="192">
        <v>2.89077554546666E-2</v>
      </c>
      <c r="Q14" s="192">
        <v>5.4451065063333297E-2</v>
      </c>
      <c r="R14" s="192">
        <v>3.16489241926666E-2</v>
      </c>
      <c r="S14" s="192">
        <v>1.62367980876E-2</v>
      </c>
      <c r="T14" s="192">
        <v>6.01989291499999E-2</v>
      </c>
      <c r="U14" s="192">
        <v>7.4275568961999897E-2</v>
      </c>
      <c r="V14" s="192">
        <v>8.2323311494666596E-2</v>
      </c>
      <c r="W14" s="192">
        <v>2.6795743703333302E-2</v>
      </c>
      <c r="X14" s="192">
        <v>6.3702867348666606E-2</v>
      </c>
      <c r="Y14" s="192">
        <v>6.53751091966666E-2</v>
      </c>
      <c r="Z14" s="192">
        <v>2.8710169949999899E-2</v>
      </c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192"/>
      <c r="BA14" s="192"/>
      <c r="BB14" s="192"/>
      <c r="BC14" s="192"/>
      <c r="BD14" s="192"/>
      <c r="BE14" s="192"/>
      <c r="BF14" s="192"/>
      <c r="BG14" s="192"/>
      <c r="BH14" s="192"/>
      <c r="BI14" s="192"/>
      <c r="BJ14" s="192"/>
      <c r="BK14" s="192"/>
      <c r="BL14" s="192"/>
      <c r="BM14" s="192"/>
      <c r="BN14" s="192"/>
      <c r="BO14" s="192"/>
      <c r="BP14" s="192"/>
      <c r="BQ14" s="192"/>
      <c r="BR14" s="192"/>
      <c r="BS14" s="192"/>
      <c r="BT14" s="192"/>
      <c r="BU14" s="192"/>
      <c r="BV14" s="192"/>
      <c r="BW14" s="192"/>
      <c r="BX14" s="192"/>
    </row>
    <row r="15" spans="1:76">
      <c r="A15" s="192">
        <v>405</v>
      </c>
      <c r="B15" s="192">
        <v>0.33016097259333299</v>
      </c>
      <c r="C15" s="192">
        <v>0.111397630689333</v>
      </c>
      <c r="D15" s="192">
        <v>4.5593723456666603E-2</v>
      </c>
      <c r="E15" s="192">
        <v>0.15051466750666601</v>
      </c>
      <c r="F15" s="192">
        <v>5.3455249786666603E-2</v>
      </c>
      <c r="G15" s="192">
        <v>1.73969847366666E-2</v>
      </c>
      <c r="H15" s="192">
        <v>9.7078412057999997E-2</v>
      </c>
      <c r="I15" s="192">
        <v>8.2580180803999897E-2</v>
      </c>
      <c r="J15" s="192">
        <v>0.31670433298</v>
      </c>
      <c r="K15" s="192">
        <v>0.243115643806666</v>
      </c>
      <c r="L15" s="192">
        <v>0.17751585451333299</v>
      </c>
      <c r="M15" s="192">
        <v>8.5419136046666594E-2</v>
      </c>
      <c r="N15" s="192">
        <v>3.7081712881999997E-2</v>
      </c>
      <c r="O15" s="192">
        <v>3.2095463116666598E-2</v>
      </c>
      <c r="P15" s="192">
        <v>5.2784319242666598E-2</v>
      </c>
      <c r="Q15" s="192">
        <v>0.113041519169333</v>
      </c>
      <c r="R15" s="192">
        <v>6.2929017066000001E-2</v>
      </c>
      <c r="S15" s="192">
        <v>3.0684780756E-2</v>
      </c>
      <c r="T15" s="192">
        <v>0.135542590453333</v>
      </c>
      <c r="U15" s="192">
        <v>0.16695314215333301</v>
      </c>
      <c r="V15" s="192">
        <v>0.179382635126666</v>
      </c>
      <c r="W15" s="192">
        <v>5.1497197786666601E-2</v>
      </c>
      <c r="X15" s="192">
        <v>0.139213844933333</v>
      </c>
      <c r="Y15" s="192">
        <v>0.130937447873333</v>
      </c>
      <c r="Z15" s="192">
        <v>5.4281625112666598E-2</v>
      </c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192"/>
      <c r="BA15" s="192"/>
      <c r="BB15" s="192"/>
      <c r="BC15" s="192"/>
      <c r="BD15" s="192"/>
      <c r="BE15" s="192"/>
      <c r="BF15" s="192"/>
      <c r="BG15" s="192"/>
      <c r="BH15" s="192"/>
      <c r="BI15" s="192"/>
      <c r="BJ15" s="192"/>
      <c r="BK15" s="192"/>
      <c r="BL15" s="192"/>
      <c r="BM15" s="192"/>
      <c r="BN15" s="192"/>
      <c r="BO15" s="192"/>
      <c r="BP15" s="192"/>
      <c r="BQ15" s="192"/>
      <c r="BR15" s="192"/>
      <c r="BS15" s="192"/>
      <c r="BT15" s="192"/>
      <c r="BU15" s="192"/>
      <c r="BV15" s="192"/>
      <c r="BW15" s="192"/>
      <c r="BX15" s="192"/>
    </row>
    <row r="16" spans="1:76">
      <c r="A16" s="192">
        <v>410</v>
      </c>
      <c r="B16" s="192">
        <v>0.46969987488666598</v>
      </c>
      <c r="C16" s="192">
        <v>0.16547666995333299</v>
      </c>
      <c r="D16" s="192">
        <v>4.9873303414000002E-2</v>
      </c>
      <c r="E16" s="192">
        <v>0.193707510626666</v>
      </c>
      <c r="F16" s="192">
        <v>6.5540258725333297E-2</v>
      </c>
      <c r="G16" s="192">
        <v>1.66402024433333E-2</v>
      </c>
      <c r="H16" s="192">
        <v>0.13687691624000001</v>
      </c>
      <c r="I16" s="192">
        <v>0.10512998897333301</v>
      </c>
      <c r="J16" s="192">
        <v>0.44519523111333298</v>
      </c>
      <c r="K16" s="192">
        <v>0.33565968068666602</v>
      </c>
      <c r="L16" s="192">
        <v>0.23941064452666599</v>
      </c>
      <c r="M16" s="192">
        <v>0.101662944794666</v>
      </c>
      <c r="N16" s="192">
        <v>3.92289465266666E-2</v>
      </c>
      <c r="O16" s="192">
        <v>3.3126089889999898E-2</v>
      </c>
      <c r="P16" s="192">
        <v>6.0217024165333297E-2</v>
      </c>
      <c r="Q16" s="192">
        <v>0.146989044193333</v>
      </c>
      <c r="R16" s="192">
        <v>7.7721745491333302E-2</v>
      </c>
      <c r="S16" s="192">
        <v>3.5558938185333303E-2</v>
      </c>
      <c r="T16" s="192">
        <v>0.192183216086666</v>
      </c>
      <c r="U16" s="192">
        <v>0.23427175775999901</v>
      </c>
      <c r="V16" s="192">
        <v>0.24713640848000001</v>
      </c>
      <c r="W16" s="192">
        <v>6.11419604613333E-2</v>
      </c>
      <c r="X16" s="192">
        <v>0.192341882066666</v>
      </c>
      <c r="Y16" s="192">
        <v>0.165389353439999</v>
      </c>
      <c r="Z16" s="192">
        <v>6.3770593960666602E-2</v>
      </c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2"/>
      <c r="AZ16" s="192"/>
      <c r="BA16" s="192"/>
      <c r="BB16" s="192"/>
      <c r="BC16" s="192"/>
      <c r="BD16" s="192"/>
      <c r="BE16" s="192"/>
      <c r="BF16" s="192"/>
      <c r="BG16" s="192"/>
      <c r="BH16" s="192"/>
      <c r="BI16" s="192"/>
      <c r="BJ16" s="192"/>
      <c r="BK16" s="192"/>
      <c r="BL16" s="192"/>
      <c r="BM16" s="192"/>
      <c r="BN16" s="192"/>
      <c r="BO16" s="192"/>
      <c r="BP16" s="192"/>
      <c r="BQ16" s="192"/>
      <c r="BR16" s="192"/>
      <c r="BS16" s="192"/>
      <c r="BT16" s="192"/>
      <c r="BU16" s="192"/>
      <c r="BV16" s="192"/>
      <c r="BW16" s="192"/>
      <c r="BX16" s="192"/>
    </row>
    <row r="17" spans="1:76">
      <c r="A17" s="192">
        <v>415</v>
      </c>
      <c r="B17" s="192">
        <v>0.54320302074666604</v>
      </c>
      <c r="C17" s="192">
        <v>0.19766163762</v>
      </c>
      <c r="D17" s="192">
        <v>4.4053811391333297E-2</v>
      </c>
      <c r="E17" s="192">
        <v>0.20261429723333299</v>
      </c>
      <c r="F17" s="192">
        <v>6.4421770731333303E-2</v>
      </c>
      <c r="G17" s="192">
        <v>1.26311057426666E-2</v>
      </c>
      <c r="H17" s="192">
        <v>0.154765130353333</v>
      </c>
      <c r="I17" s="192">
        <v>0.10769771704</v>
      </c>
      <c r="J17" s="192">
        <v>0.50909710946666598</v>
      </c>
      <c r="K17" s="192">
        <v>0.37562733203999998</v>
      </c>
      <c r="L17" s="192">
        <v>0.26150668844666602</v>
      </c>
      <c r="M17" s="192">
        <v>9.7804363258000002E-2</v>
      </c>
      <c r="N17" s="192">
        <v>3.338091294E-2</v>
      </c>
      <c r="O17" s="192">
        <v>2.7510495503333302E-2</v>
      </c>
      <c r="P17" s="192">
        <v>5.5067704836E-2</v>
      </c>
      <c r="Q17" s="192">
        <v>0.153867333733333</v>
      </c>
      <c r="R17" s="192">
        <v>7.7058776854000005E-2</v>
      </c>
      <c r="S17" s="192">
        <v>3.31410959559999E-2</v>
      </c>
      <c r="T17" s="192">
        <v>0.21906745148666601</v>
      </c>
      <c r="U17" s="192">
        <v>0.26473889416000002</v>
      </c>
      <c r="V17" s="192">
        <v>0.27605724207999899</v>
      </c>
      <c r="W17" s="192">
        <v>5.8376491229333298E-2</v>
      </c>
      <c r="X17" s="192">
        <v>0.21416918308666599</v>
      </c>
      <c r="Y17" s="192">
        <v>0.16939334742666601</v>
      </c>
      <c r="Z17" s="192">
        <v>6.0540137291333299E-2</v>
      </c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2"/>
      <c r="AZ17" s="192"/>
      <c r="BA17" s="192"/>
      <c r="BB17" s="192"/>
      <c r="BC17" s="192"/>
      <c r="BD17" s="192"/>
      <c r="BE17" s="192"/>
      <c r="BF17" s="192"/>
      <c r="BG17" s="192"/>
      <c r="BH17" s="192"/>
      <c r="BI17" s="192"/>
      <c r="BJ17" s="192"/>
      <c r="BK17" s="192"/>
      <c r="BL17" s="192"/>
      <c r="BM17" s="192"/>
      <c r="BN17" s="192"/>
      <c r="BO17" s="192"/>
      <c r="BP17" s="192"/>
      <c r="BQ17" s="192"/>
      <c r="BR17" s="192"/>
      <c r="BS17" s="192"/>
      <c r="BT17" s="192"/>
      <c r="BU17" s="192"/>
      <c r="BV17" s="192"/>
      <c r="BW17" s="192"/>
      <c r="BX17" s="192"/>
    </row>
    <row r="18" spans="1:76">
      <c r="A18" s="192">
        <v>420</v>
      </c>
      <c r="B18" s="192">
        <v>0.57716709391333298</v>
      </c>
      <c r="C18" s="192">
        <v>0.213861668913333</v>
      </c>
      <c r="D18" s="192">
        <v>3.5882377624666603E-2</v>
      </c>
      <c r="E18" s="192">
        <v>0.19426890563333299</v>
      </c>
      <c r="F18" s="192">
        <v>5.8253394129333301E-2</v>
      </c>
      <c r="G18" s="192">
        <v>9.1913419962666599E-3</v>
      </c>
      <c r="H18" s="192">
        <v>0.15895112354666599</v>
      </c>
      <c r="I18" s="192">
        <v>0.100919930145333</v>
      </c>
      <c r="J18" s="192">
        <v>0.53690754699999999</v>
      </c>
      <c r="K18" s="192">
        <v>0.38661929320666599</v>
      </c>
      <c r="L18" s="192">
        <v>0.26232596587333301</v>
      </c>
      <c r="M18" s="192">
        <v>8.6458705265999899E-2</v>
      </c>
      <c r="N18" s="192">
        <v>2.63482775686666E-2</v>
      </c>
      <c r="O18" s="192">
        <v>2.12364728446666E-2</v>
      </c>
      <c r="P18" s="192">
        <v>4.6723699887333298E-2</v>
      </c>
      <c r="Q18" s="192">
        <v>0.147950469333333</v>
      </c>
      <c r="R18" s="192">
        <v>7.0502941131333305E-2</v>
      </c>
      <c r="S18" s="192">
        <v>2.8481143474666602E-2</v>
      </c>
      <c r="T18" s="192">
        <v>0.227759056093333</v>
      </c>
      <c r="U18" s="192">
        <v>0.27464865366000002</v>
      </c>
      <c r="V18" s="192">
        <v>0.28262569681999999</v>
      </c>
      <c r="W18" s="192">
        <v>5.1381365141333298E-2</v>
      </c>
      <c r="X18" s="192">
        <v>0.21809884007333299</v>
      </c>
      <c r="Y18" s="192">
        <v>0.15974292946666599</v>
      </c>
      <c r="Z18" s="192">
        <v>5.2684936522666599E-2</v>
      </c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2"/>
      <c r="AZ18" s="192"/>
      <c r="BA18" s="192"/>
      <c r="BB18" s="192"/>
      <c r="BC18" s="192"/>
      <c r="BD18" s="192"/>
      <c r="BE18" s="192"/>
      <c r="BF18" s="192"/>
      <c r="BG18" s="192"/>
      <c r="BH18" s="192"/>
      <c r="BI18" s="192"/>
      <c r="BJ18" s="192"/>
      <c r="BK18" s="192"/>
      <c r="BL18" s="192"/>
      <c r="BM18" s="192"/>
      <c r="BN18" s="192"/>
      <c r="BO18" s="192"/>
      <c r="BP18" s="192"/>
      <c r="BQ18" s="192"/>
      <c r="BR18" s="192"/>
      <c r="BS18" s="192"/>
      <c r="BT18" s="192"/>
      <c r="BU18" s="192"/>
      <c r="BV18" s="192"/>
      <c r="BW18" s="192"/>
      <c r="BX18" s="192"/>
    </row>
    <row r="19" spans="1:76">
      <c r="A19" s="192">
        <v>425</v>
      </c>
      <c r="B19" s="192">
        <v>0.594719884246666</v>
      </c>
      <c r="C19" s="192">
        <v>0.22258660633999999</v>
      </c>
      <c r="D19" s="192">
        <v>2.83805828093333E-2</v>
      </c>
      <c r="E19" s="192">
        <v>0.17967191823333301</v>
      </c>
      <c r="F19" s="192">
        <v>5.1330813725999999E-2</v>
      </c>
      <c r="G19" s="192">
        <v>6.4764180183999997E-3</v>
      </c>
      <c r="H19" s="192">
        <v>0.15631937343999899</v>
      </c>
      <c r="I19" s="192">
        <v>9.1311355590000004E-2</v>
      </c>
      <c r="J19" s="192">
        <v>0.549193219506666</v>
      </c>
      <c r="K19" s="192">
        <v>0.38586182657333301</v>
      </c>
      <c r="L19" s="192">
        <v>0.254970017753333</v>
      </c>
      <c r="M19" s="192">
        <v>7.4272639909999993E-2</v>
      </c>
      <c r="N19" s="192">
        <v>2.04009182446666E-2</v>
      </c>
      <c r="O19" s="192">
        <v>1.6192643722000001E-2</v>
      </c>
      <c r="P19" s="192">
        <v>3.8891272544666601E-2</v>
      </c>
      <c r="Q19" s="192">
        <v>0.138008230213333</v>
      </c>
      <c r="R19" s="192">
        <v>6.2187778472666599E-2</v>
      </c>
      <c r="S19" s="192">
        <v>2.3522893111999899E-2</v>
      </c>
      <c r="T19" s="192">
        <v>0.227042888646666</v>
      </c>
      <c r="U19" s="192">
        <v>0.27571091206666598</v>
      </c>
      <c r="V19" s="192">
        <v>0.278932571406666</v>
      </c>
      <c r="W19" s="192">
        <v>4.3803259849999901E-2</v>
      </c>
      <c r="X19" s="192">
        <v>0.21449161657333299</v>
      </c>
      <c r="Y19" s="192">
        <v>0.14653838093333299</v>
      </c>
      <c r="Z19" s="192">
        <v>4.4634311038666601E-2</v>
      </c>
      <c r="AA19" s="192"/>
      <c r="AB19" s="192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2"/>
      <c r="AZ19" s="192"/>
      <c r="BA19" s="192"/>
      <c r="BB19" s="192"/>
      <c r="BC19" s="192"/>
      <c r="BD19" s="192"/>
      <c r="BE19" s="192"/>
      <c r="BF19" s="192"/>
      <c r="BG19" s="192"/>
      <c r="BH19" s="192"/>
      <c r="BI19" s="192"/>
      <c r="BJ19" s="192"/>
      <c r="BK19" s="192"/>
      <c r="BL19" s="192"/>
      <c r="BM19" s="192"/>
      <c r="BN19" s="192"/>
      <c r="BO19" s="192"/>
      <c r="BP19" s="192"/>
      <c r="BQ19" s="192"/>
      <c r="BR19" s="192"/>
      <c r="BS19" s="192"/>
      <c r="BT19" s="192"/>
      <c r="BU19" s="192"/>
      <c r="BV19" s="192"/>
      <c r="BW19" s="192"/>
      <c r="BX19" s="192"/>
    </row>
    <row r="20" spans="1:76">
      <c r="A20" s="192">
        <v>430</v>
      </c>
      <c r="B20" s="192">
        <v>0.605756050106666</v>
      </c>
      <c r="C20" s="192">
        <v>0.22860157775333301</v>
      </c>
      <c r="D20" s="192">
        <v>2.29228002233333E-2</v>
      </c>
      <c r="E20" s="192">
        <v>0.16564458211333299</v>
      </c>
      <c r="F20" s="192">
        <v>4.5823847453999901E-2</v>
      </c>
      <c r="G20" s="192">
        <v>4.8034031192000001E-3</v>
      </c>
      <c r="H20" s="192">
        <v>0.15230895486666601</v>
      </c>
      <c r="I20" s="192">
        <v>8.2525630313999898E-2</v>
      </c>
      <c r="J20" s="192">
        <v>0.55610033416666604</v>
      </c>
      <c r="K20" s="192">
        <v>0.38238393655333303</v>
      </c>
      <c r="L20" s="192">
        <v>0.24683309174666601</v>
      </c>
      <c r="M20" s="192">
        <v>6.4272940635999906E-2</v>
      </c>
      <c r="N20" s="192">
        <v>1.624514556E-2</v>
      </c>
      <c r="O20" s="192">
        <v>1.27691980213333E-2</v>
      </c>
      <c r="P20" s="192">
        <v>3.30374468166666E-2</v>
      </c>
      <c r="Q20" s="192">
        <v>0.12864268173999899</v>
      </c>
      <c r="R20" s="192">
        <v>5.5300684929333301E-2</v>
      </c>
      <c r="S20" s="192">
        <v>1.96726757686666E-2</v>
      </c>
      <c r="T20" s="192">
        <v>0.22404646173333301</v>
      </c>
      <c r="U20" s="192">
        <v>0.274563081106666</v>
      </c>
      <c r="V20" s="192">
        <v>0.27338624319333299</v>
      </c>
      <c r="W20" s="192">
        <v>3.8056434155999901E-2</v>
      </c>
      <c r="X20" s="192">
        <v>0.20926989492</v>
      </c>
      <c r="Y20" s="192">
        <v>0.13479692776666599</v>
      </c>
      <c r="Z20" s="192">
        <v>3.8257916926666601E-2</v>
      </c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2"/>
      <c r="AZ20" s="192"/>
      <c r="BA20" s="192"/>
      <c r="BB20" s="192"/>
      <c r="BC20" s="192"/>
      <c r="BD20" s="192"/>
      <c r="BE20" s="192"/>
      <c r="BF20" s="192"/>
      <c r="BG20" s="192"/>
      <c r="BH20" s="192"/>
      <c r="BI20" s="192"/>
      <c r="BJ20" s="192"/>
      <c r="BK20" s="192"/>
      <c r="BL20" s="192"/>
      <c r="BM20" s="192"/>
      <c r="BN20" s="192"/>
      <c r="BO20" s="192"/>
      <c r="BP20" s="192"/>
      <c r="BQ20" s="192"/>
      <c r="BR20" s="192"/>
      <c r="BS20" s="192"/>
      <c r="BT20" s="192"/>
      <c r="BU20" s="192"/>
      <c r="BV20" s="192"/>
      <c r="BW20" s="192"/>
      <c r="BX20" s="192"/>
    </row>
    <row r="21" spans="1:76">
      <c r="A21" s="192">
        <v>435</v>
      </c>
      <c r="B21" s="192">
        <v>0.61441666667999995</v>
      </c>
      <c r="C21" s="192">
        <v>0.23571087264666599</v>
      </c>
      <c r="D21" s="192">
        <v>1.96735101526666E-2</v>
      </c>
      <c r="E21" s="192">
        <v>0.15753211657999899</v>
      </c>
      <c r="F21" s="192">
        <v>4.2126836459333301E-2</v>
      </c>
      <c r="G21" s="192">
        <v>3.8833033840666598E-3</v>
      </c>
      <c r="H21" s="192">
        <v>0.15131565729999899</v>
      </c>
      <c r="I21" s="192">
        <v>7.7510990461333307E-2</v>
      </c>
      <c r="J21" s="192">
        <v>0.56165220640666602</v>
      </c>
      <c r="K21" s="192">
        <v>0.38081528217999899</v>
      </c>
      <c r="L21" s="192">
        <v>0.24182812245333299</v>
      </c>
      <c r="M21" s="192">
        <v>5.80329287846666E-2</v>
      </c>
      <c r="N21" s="192">
        <v>1.3864458798000001E-2</v>
      </c>
      <c r="O21" s="192">
        <v>1.0689020633533299E-2</v>
      </c>
      <c r="P21" s="192">
        <v>2.9290501117999999E-2</v>
      </c>
      <c r="Q21" s="192">
        <v>0.122935325633333</v>
      </c>
      <c r="R21" s="192">
        <v>5.1079946199333301E-2</v>
      </c>
      <c r="S21" s="192">
        <v>1.74060970946666E-2</v>
      </c>
      <c r="T21" s="192">
        <v>0.224189178459999</v>
      </c>
      <c r="U21" s="192">
        <v>0.27455685424666598</v>
      </c>
      <c r="V21" s="192">
        <v>0.27142764408666598</v>
      </c>
      <c r="W21" s="192">
        <v>3.4462792873999899E-2</v>
      </c>
      <c r="X21" s="192">
        <v>0.20721740212</v>
      </c>
      <c r="Y21" s="192">
        <v>0.12704566573999901</v>
      </c>
      <c r="Z21" s="192">
        <v>3.4280251185999998E-2</v>
      </c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2"/>
      <c r="AT21" s="192"/>
      <c r="AU21" s="192"/>
      <c r="AV21" s="192"/>
      <c r="AW21" s="192"/>
      <c r="AX21" s="192"/>
      <c r="AY21" s="192"/>
      <c r="AZ21" s="192"/>
      <c r="BA21" s="192"/>
      <c r="BB21" s="192"/>
      <c r="BC21" s="192"/>
      <c r="BD21" s="192"/>
      <c r="BE21" s="192"/>
      <c r="BF21" s="192"/>
      <c r="BG21" s="192"/>
      <c r="BH21" s="192"/>
      <c r="BI21" s="192"/>
      <c r="BJ21" s="192"/>
      <c r="BK21" s="192"/>
      <c r="BL21" s="192"/>
      <c r="BM21" s="192"/>
      <c r="BN21" s="192"/>
      <c r="BO21" s="192"/>
      <c r="BP21" s="192"/>
      <c r="BQ21" s="192"/>
      <c r="BR21" s="192"/>
      <c r="BS21" s="192"/>
      <c r="BT21" s="192"/>
      <c r="BU21" s="192"/>
      <c r="BV21" s="192"/>
      <c r="BW21" s="192"/>
      <c r="BX21" s="192"/>
    </row>
    <row r="22" spans="1:76">
      <c r="A22" s="192">
        <v>440</v>
      </c>
      <c r="B22" s="192">
        <v>0.62329709878666595</v>
      </c>
      <c r="C22" s="192">
        <v>0.245343683886666</v>
      </c>
      <c r="D22" s="192">
        <v>1.8436637400666599E-2</v>
      </c>
      <c r="E22" s="192">
        <v>0.15618927701999899</v>
      </c>
      <c r="F22" s="192">
        <v>4.0399738946666597E-2</v>
      </c>
      <c r="G22" s="192">
        <v>3.4374969402666601E-3</v>
      </c>
      <c r="H22" s="192">
        <v>0.15521356010666601</v>
      </c>
      <c r="I22" s="192">
        <v>7.6390852928666597E-2</v>
      </c>
      <c r="J22" s="192">
        <v>0.56794826506666596</v>
      </c>
      <c r="K22" s="192">
        <v>0.38239287312666598</v>
      </c>
      <c r="L22" s="192">
        <v>0.241335412353333</v>
      </c>
      <c r="M22" s="192">
        <v>5.5822115897333303E-2</v>
      </c>
      <c r="N22" s="192">
        <v>1.2685746272E-2</v>
      </c>
      <c r="O22" s="192">
        <v>9.7103025512666596E-3</v>
      </c>
      <c r="P22" s="192">
        <v>2.7227491378666601E-2</v>
      </c>
      <c r="Q22" s="192">
        <v>0.121186836866666</v>
      </c>
      <c r="R22" s="192">
        <v>4.9542796769333299E-2</v>
      </c>
      <c r="S22" s="192">
        <v>1.6700299660000001E-2</v>
      </c>
      <c r="T22" s="192">
        <v>0.23013249333333299</v>
      </c>
      <c r="U22" s="192">
        <v>0.27715562565333302</v>
      </c>
      <c r="V22" s="192">
        <v>0.274483356479999</v>
      </c>
      <c r="W22" s="192">
        <v>3.2961364745999901E-2</v>
      </c>
      <c r="X22" s="192">
        <v>0.20950611624666601</v>
      </c>
      <c r="Y22" s="192">
        <v>0.12368425306</v>
      </c>
      <c r="Z22" s="192">
        <v>3.2665735245999999E-2</v>
      </c>
      <c r="AA22" s="192"/>
      <c r="AB22" s="192"/>
      <c r="AC22" s="192"/>
      <c r="AD22" s="192"/>
      <c r="AE22" s="192"/>
      <c r="AF22" s="192"/>
      <c r="AG22" s="192"/>
      <c r="AH22" s="192"/>
      <c r="AI22" s="192"/>
      <c r="AJ22" s="192"/>
      <c r="AK22" s="192"/>
      <c r="AL22" s="192"/>
      <c r="AM22" s="192"/>
      <c r="AN22" s="192"/>
      <c r="AO22" s="192"/>
      <c r="AP22" s="192"/>
      <c r="AQ22" s="192"/>
      <c r="AR22" s="192"/>
      <c r="AS22" s="192"/>
      <c r="AT22" s="192"/>
      <c r="AU22" s="192"/>
      <c r="AV22" s="192"/>
      <c r="AW22" s="192"/>
      <c r="AX22" s="192"/>
      <c r="AY22" s="192"/>
      <c r="AZ22" s="192"/>
      <c r="BA22" s="192"/>
      <c r="BB22" s="192"/>
      <c r="BC22" s="192"/>
      <c r="BD22" s="192"/>
      <c r="BE22" s="192"/>
      <c r="BF22" s="192"/>
      <c r="BG22" s="192"/>
      <c r="BH22" s="192"/>
      <c r="BI22" s="192"/>
      <c r="BJ22" s="192"/>
      <c r="BK22" s="192"/>
      <c r="BL22" s="192"/>
      <c r="BM22" s="192"/>
      <c r="BN22" s="192"/>
      <c r="BO22" s="192"/>
      <c r="BP22" s="192"/>
      <c r="BQ22" s="192"/>
      <c r="BR22" s="192"/>
      <c r="BS22" s="192"/>
      <c r="BT22" s="192"/>
      <c r="BU22" s="192"/>
      <c r="BV22" s="192"/>
      <c r="BW22" s="192"/>
      <c r="BX22" s="192"/>
    </row>
    <row r="23" spans="1:76">
      <c r="A23" s="192">
        <v>445</v>
      </c>
      <c r="B23" s="192">
        <v>0.63251224771333303</v>
      </c>
      <c r="C23" s="192">
        <v>0.25592981847333302</v>
      </c>
      <c r="D23" s="192">
        <v>1.82947761206666E-2</v>
      </c>
      <c r="E23" s="192">
        <v>0.158922188446666</v>
      </c>
      <c r="F23" s="192">
        <v>4.0242224532666598E-2</v>
      </c>
      <c r="G23" s="192">
        <v>3.2139828006666599E-3</v>
      </c>
      <c r="H23" s="192">
        <v>0.16197600682666599</v>
      </c>
      <c r="I23" s="192">
        <v>7.7699111939333307E-2</v>
      </c>
      <c r="J23" s="192">
        <v>0.57494752502000002</v>
      </c>
      <c r="K23" s="192">
        <v>0.38686519115333301</v>
      </c>
      <c r="L23" s="192">
        <v>0.24404035441333299</v>
      </c>
      <c r="M23" s="192">
        <v>5.5799103736666598E-2</v>
      </c>
      <c r="N23" s="192">
        <v>1.22583084906666E-2</v>
      </c>
      <c r="O23" s="192">
        <v>9.3834360838666604E-3</v>
      </c>
      <c r="P23" s="192">
        <v>2.65181589113333E-2</v>
      </c>
      <c r="Q23" s="192">
        <v>0.12237269083333301</v>
      </c>
      <c r="R23" s="192">
        <v>4.9934001287333302E-2</v>
      </c>
      <c r="S23" s="192">
        <v>1.6828126746666599E-2</v>
      </c>
      <c r="T23" s="192">
        <v>0.23870070901333301</v>
      </c>
      <c r="U23" s="192">
        <v>0.28201741917333301</v>
      </c>
      <c r="V23" s="192">
        <v>0.28062811661333298</v>
      </c>
      <c r="W23" s="192">
        <v>3.2600337504000002E-2</v>
      </c>
      <c r="X23" s="192">
        <v>0.214496817266666</v>
      </c>
      <c r="Y23" s="192">
        <v>0.12354043326</v>
      </c>
      <c r="Z23" s="192">
        <v>3.2609395979999997E-2</v>
      </c>
      <c r="AA23" s="192"/>
      <c r="AB23" s="19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192"/>
      <c r="AQ23" s="192"/>
      <c r="AR23" s="192"/>
      <c r="AS23" s="192"/>
      <c r="AT23" s="192"/>
      <c r="AU23" s="192"/>
      <c r="AV23" s="192"/>
      <c r="AW23" s="192"/>
      <c r="AX23" s="192"/>
      <c r="AY23" s="192"/>
      <c r="AZ23" s="192"/>
      <c r="BA23" s="192"/>
      <c r="BB23" s="192"/>
      <c r="BC23" s="192"/>
      <c r="BD23" s="192"/>
      <c r="BE23" s="192"/>
      <c r="BF23" s="192"/>
      <c r="BG23" s="192"/>
      <c r="BH23" s="192"/>
      <c r="BI23" s="192"/>
      <c r="BJ23" s="192"/>
      <c r="BK23" s="192"/>
      <c r="BL23" s="192"/>
      <c r="BM23" s="192"/>
      <c r="BN23" s="192"/>
      <c r="BO23" s="192"/>
      <c r="BP23" s="192"/>
      <c r="BQ23" s="192"/>
      <c r="BR23" s="192"/>
      <c r="BS23" s="192"/>
      <c r="BT23" s="192"/>
      <c r="BU23" s="192"/>
      <c r="BV23" s="192"/>
      <c r="BW23" s="192"/>
      <c r="BX23" s="192"/>
    </row>
    <row r="24" spans="1:76">
      <c r="A24" s="192">
        <v>450</v>
      </c>
      <c r="B24" s="192">
        <v>0.64343820189333301</v>
      </c>
      <c r="C24" s="192">
        <v>0.26738774999333298</v>
      </c>
      <c r="D24" s="192">
        <v>1.86183664793333E-2</v>
      </c>
      <c r="E24" s="192">
        <v>0.162360778819999</v>
      </c>
      <c r="F24" s="192">
        <v>4.1397152265333297E-2</v>
      </c>
      <c r="G24" s="192">
        <v>3.1942744254666602E-3</v>
      </c>
      <c r="H24" s="192">
        <v>0.16865096536666599</v>
      </c>
      <c r="I24" s="192">
        <v>8.0050860087333295E-2</v>
      </c>
      <c r="J24" s="192">
        <v>0.58483989715999896</v>
      </c>
      <c r="K24" s="192">
        <v>0.39421898397333299</v>
      </c>
      <c r="L24" s="192">
        <v>0.249522327426666</v>
      </c>
      <c r="M24" s="192">
        <v>5.6872703233999899E-2</v>
      </c>
      <c r="N24" s="192">
        <v>1.24057908846666E-2</v>
      </c>
      <c r="O24" s="192">
        <v>9.5168129202666592E-3</v>
      </c>
      <c r="P24" s="192">
        <v>2.7119054477333301E-2</v>
      </c>
      <c r="Q24" s="192">
        <v>0.12554313914666601</v>
      </c>
      <c r="R24" s="192">
        <v>5.1536750793999997E-2</v>
      </c>
      <c r="S24" s="192">
        <v>1.7471232334000001E-2</v>
      </c>
      <c r="T24" s="192">
        <v>0.24687099075333299</v>
      </c>
      <c r="U24" s="192">
        <v>0.28970404052666598</v>
      </c>
      <c r="V24" s="192">
        <v>0.28794339624666598</v>
      </c>
      <c r="W24" s="192">
        <v>3.3583118119999998E-2</v>
      </c>
      <c r="X24" s="192">
        <v>0.22109346897999901</v>
      </c>
      <c r="Y24" s="192">
        <v>0.125951461786666</v>
      </c>
      <c r="Z24" s="192">
        <v>3.3417680898666598E-2</v>
      </c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2"/>
      <c r="AT24" s="192"/>
      <c r="AU24" s="192"/>
      <c r="AV24" s="192"/>
      <c r="AW24" s="192"/>
      <c r="AX24" s="192"/>
      <c r="AY24" s="192"/>
      <c r="AZ24" s="192"/>
      <c r="BA24" s="192"/>
      <c r="BB24" s="192"/>
      <c r="BC24" s="192"/>
      <c r="BD24" s="192"/>
      <c r="BE24" s="192"/>
      <c r="BF24" s="192"/>
      <c r="BG24" s="192"/>
      <c r="BH24" s="192"/>
      <c r="BI24" s="192"/>
      <c r="BJ24" s="192"/>
      <c r="BK24" s="192"/>
      <c r="BL24" s="192"/>
      <c r="BM24" s="192"/>
      <c r="BN24" s="192"/>
      <c r="BO24" s="192"/>
      <c r="BP24" s="192"/>
      <c r="BQ24" s="192"/>
      <c r="BR24" s="192"/>
      <c r="BS24" s="192"/>
      <c r="BT24" s="192"/>
      <c r="BU24" s="192"/>
      <c r="BV24" s="192"/>
      <c r="BW24" s="192"/>
      <c r="BX24" s="192"/>
    </row>
    <row r="25" spans="1:76">
      <c r="A25" s="192">
        <v>455</v>
      </c>
      <c r="B25" s="192">
        <v>0.65461263020000005</v>
      </c>
      <c r="C25" s="192">
        <v>0.27894762039999899</v>
      </c>
      <c r="D25" s="192">
        <v>1.9605774481999901E-2</v>
      </c>
      <c r="E25" s="192">
        <v>0.165098621373333</v>
      </c>
      <c r="F25" s="192">
        <v>4.4607125600666597E-2</v>
      </c>
      <c r="G25" s="192">
        <v>3.6732868156666601E-3</v>
      </c>
      <c r="H25" s="192">
        <v>0.17376422882000001</v>
      </c>
      <c r="I25" s="192">
        <v>8.3279237746666596E-2</v>
      </c>
      <c r="J25" s="192">
        <v>0.59591666922666597</v>
      </c>
      <c r="K25" s="192">
        <v>0.40381207274666597</v>
      </c>
      <c r="L25" s="192">
        <v>0.25749006271999902</v>
      </c>
      <c r="M25" s="192">
        <v>5.9070676803333298E-2</v>
      </c>
      <c r="N25" s="192">
        <v>1.3556538502666599E-2</v>
      </c>
      <c r="O25" s="192">
        <v>1.0426346739266601E-2</v>
      </c>
      <c r="P25" s="192">
        <v>2.95136731466666E-2</v>
      </c>
      <c r="Q25" s="192">
        <v>0.13103951898666599</v>
      </c>
      <c r="R25" s="192">
        <v>5.4452852885333303E-2</v>
      </c>
      <c r="S25" s="192">
        <v>1.8653414249333301E-2</v>
      </c>
      <c r="T25" s="192">
        <v>0.25349034753999899</v>
      </c>
      <c r="U25" s="192">
        <v>0.30073542149999899</v>
      </c>
      <c r="V25" s="192">
        <v>0.29538655217333298</v>
      </c>
      <c r="W25" s="192">
        <v>3.6080512523999901E-2</v>
      </c>
      <c r="X25" s="192">
        <v>0.228541140246666</v>
      </c>
      <c r="Y25" s="192">
        <v>0.13108710543999899</v>
      </c>
      <c r="Z25" s="192">
        <v>3.5559369563999903E-2</v>
      </c>
      <c r="AA25" s="192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192"/>
      <c r="AQ25" s="192"/>
      <c r="AR25" s="192"/>
      <c r="AS25" s="192"/>
      <c r="AT25" s="192"/>
      <c r="AU25" s="192"/>
      <c r="AV25" s="192"/>
      <c r="AW25" s="192"/>
      <c r="AX25" s="192"/>
      <c r="AY25" s="192"/>
      <c r="AZ25" s="192"/>
      <c r="BA25" s="192"/>
      <c r="BB25" s="192"/>
      <c r="BC25" s="192"/>
      <c r="BD25" s="192"/>
      <c r="BE25" s="192"/>
      <c r="BF25" s="192"/>
      <c r="BG25" s="192"/>
      <c r="BH25" s="192"/>
      <c r="BI25" s="192"/>
      <c r="BJ25" s="192"/>
      <c r="BK25" s="192"/>
      <c r="BL25" s="192"/>
      <c r="BM25" s="192"/>
      <c r="BN25" s="192"/>
      <c r="BO25" s="192"/>
      <c r="BP25" s="192"/>
      <c r="BQ25" s="192"/>
      <c r="BR25" s="192"/>
      <c r="BS25" s="192"/>
      <c r="BT25" s="192"/>
      <c r="BU25" s="192"/>
      <c r="BV25" s="192"/>
      <c r="BW25" s="192"/>
      <c r="BX25" s="192"/>
    </row>
    <row r="26" spans="1:76">
      <c r="A26" s="192">
        <v>460</v>
      </c>
      <c r="B26" s="192">
        <v>0.66439298501999999</v>
      </c>
      <c r="C26" s="192">
        <v>0.28988823827333299</v>
      </c>
      <c r="D26" s="192">
        <v>2.1278975485999899E-2</v>
      </c>
      <c r="E26" s="192">
        <v>0.16708493804666599</v>
      </c>
      <c r="F26" s="192">
        <v>5.0335518199999901E-2</v>
      </c>
      <c r="G26" s="192">
        <v>4.6347338756666601E-3</v>
      </c>
      <c r="H26" s="192">
        <v>0.17744877370666601</v>
      </c>
      <c r="I26" s="192">
        <v>8.72002137486666E-2</v>
      </c>
      <c r="J26" s="192">
        <v>0.60702057902666595</v>
      </c>
      <c r="K26" s="192">
        <v>0.41573961131999998</v>
      </c>
      <c r="L26" s="192">
        <v>0.26809389114666599</v>
      </c>
      <c r="M26" s="192">
        <v>6.2499104817333298E-2</v>
      </c>
      <c r="N26" s="192">
        <v>1.5569592713333301E-2</v>
      </c>
      <c r="O26" s="192">
        <v>1.23993399133333E-2</v>
      </c>
      <c r="P26" s="192">
        <v>3.3884998957999998E-2</v>
      </c>
      <c r="Q26" s="192">
        <v>0.13872539521333299</v>
      </c>
      <c r="R26" s="192">
        <v>5.9057417551333299E-2</v>
      </c>
      <c r="S26" s="192">
        <v>2.0777796665999999E-2</v>
      </c>
      <c r="T26" s="192">
        <v>0.25783529916666598</v>
      </c>
      <c r="U26" s="192">
        <v>0.31460434341333299</v>
      </c>
      <c r="V26" s="192">
        <v>0.30276718650666601</v>
      </c>
      <c r="W26" s="192">
        <v>4.03493247033333E-2</v>
      </c>
      <c r="X26" s="192">
        <v>0.237021279653333</v>
      </c>
      <c r="Y26" s="192">
        <v>0.139050734846666</v>
      </c>
      <c r="Z26" s="192">
        <v>3.8913209438000002E-2</v>
      </c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  <c r="AM26" s="192"/>
      <c r="AN26" s="192"/>
      <c r="AO26" s="192"/>
      <c r="AP26" s="192"/>
      <c r="AQ26" s="192"/>
      <c r="AR26" s="192"/>
      <c r="AS26" s="192"/>
      <c r="AT26" s="192"/>
      <c r="AU26" s="192"/>
      <c r="AV26" s="192"/>
      <c r="AW26" s="192"/>
      <c r="AX26" s="192"/>
      <c r="AY26" s="192"/>
      <c r="AZ26" s="192"/>
      <c r="BA26" s="192"/>
      <c r="BB26" s="192"/>
      <c r="BC26" s="192"/>
      <c r="BD26" s="192"/>
      <c r="BE26" s="192"/>
      <c r="BF26" s="192"/>
      <c r="BG26" s="192"/>
      <c r="BH26" s="192"/>
      <c r="BI26" s="192"/>
      <c r="BJ26" s="192"/>
      <c r="BK26" s="192"/>
      <c r="BL26" s="192"/>
      <c r="BM26" s="192"/>
      <c r="BN26" s="192"/>
      <c r="BO26" s="192"/>
      <c r="BP26" s="192"/>
      <c r="BQ26" s="192"/>
      <c r="BR26" s="192"/>
      <c r="BS26" s="192"/>
      <c r="BT26" s="192"/>
      <c r="BU26" s="192"/>
      <c r="BV26" s="192"/>
      <c r="BW26" s="192"/>
      <c r="BX26" s="192"/>
    </row>
    <row r="27" spans="1:76">
      <c r="A27" s="192">
        <v>465</v>
      </c>
      <c r="B27" s="192">
        <v>0.67386260988000002</v>
      </c>
      <c r="C27" s="192">
        <v>0.30111475626666601</v>
      </c>
      <c r="D27" s="192">
        <v>2.3970251719333299E-2</v>
      </c>
      <c r="E27" s="192">
        <v>0.16887785849333301</v>
      </c>
      <c r="F27" s="192">
        <v>5.9219406126666603E-2</v>
      </c>
      <c r="G27" s="192">
        <v>6.2435399690666596E-3</v>
      </c>
      <c r="H27" s="192">
        <v>0.18007713445333301</v>
      </c>
      <c r="I27" s="192">
        <v>9.2077147800666601E-2</v>
      </c>
      <c r="J27" s="192">
        <v>0.618985013333333</v>
      </c>
      <c r="K27" s="192">
        <v>0.43002107747999901</v>
      </c>
      <c r="L27" s="192">
        <v>0.28182541911333298</v>
      </c>
      <c r="M27" s="192">
        <v>6.7283466656000004E-2</v>
      </c>
      <c r="N27" s="192">
        <v>1.9236860275333299E-2</v>
      </c>
      <c r="O27" s="192">
        <v>1.57625550426666E-2</v>
      </c>
      <c r="P27" s="192">
        <v>4.1395236810666598E-2</v>
      </c>
      <c r="Q27" s="192">
        <v>0.149368742619999</v>
      </c>
      <c r="R27" s="192">
        <v>6.5684806188000003E-2</v>
      </c>
      <c r="S27" s="192">
        <v>2.37611207973333E-2</v>
      </c>
      <c r="T27" s="192">
        <v>0.26021631495999897</v>
      </c>
      <c r="U27" s="192">
        <v>0.33194257355333301</v>
      </c>
      <c r="V27" s="192">
        <v>0.310289180746666</v>
      </c>
      <c r="W27" s="192">
        <v>4.6940474509333301E-2</v>
      </c>
      <c r="X27" s="192">
        <v>0.246718503313333</v>
      </c>
      <c r="Y27" s="192">
        <v>0.15053912988666601</v>
      </c>
      <c r="Z27" s="192">
        <v>4.4060617447333299E-2</v>
      </c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2"/>
      <c r="AT27" s="192"/>
      <c r="AU27" s="192"/>
      <c r="AV27" s="192"/>
      <c r="AW27" s="192"/>
      <c r="AX27" s="192"/>
      <c r="AY27" s="192"/>
      <c r="AZ27" s="192"/>
      <c r="BA27" s="192"/>
      <c r="BB27" s="192"/>
      <c r="BC27" s="192"/>
      <c r="BD27" s="192"/>
      <c r="BE27" s="192"/>
      <c r="BF27" s="192"/>
      <c r="BG27" s="192"/>
      <c r="BH27" s="192"/>
      <c r="BI27" s="192"/>
      <c r="BJ27" s="192"/>
      <c r="BK27" s="192"/>
      <c r="BL27" s="192"/>
      <c r="BM27" s="192"/>
      <c r="BN27" s="192"/>
      <c r="BO27" s="192"/>
      <c r="BP27" s="192"/>
      <c r="BQ27" s="192"/>
      <c r="BR27" s="192"/>
      <c r="BS27" s="192"/>
      <c r="BT27" s="192"/>
      <c r="BU27" s="192"/>
      <c r="BV27" s="192"/>
      <c r="BW27" s="192"/>
      <c r="BX27" s="192"/>
    </row>
    <row r="28" spans="1:76">
      <c r="A28" s="192">
        <v>470</v>
      </c>
      <c r="B28" s="192">
        <v>0.68189859008666598</v>
      </c>
      <c r="C28" s="192">
        <v>0.31150086084666601</v>
      </c>
      <c r="D28" s="192">
        <v>2.72468592326666E-2</v>
      </c>
      <c r="E28" s="192">
        <v>0.16926094055999899</v>
      </c>
      <c r="F28" s="192">
        <v>7.1645642599333301E-2</v>
      </c>
      <c r="G28" s="192">
        <v>9.2414648131333293E-3</v>
      </c>
      <c r="H28" s="192">
        <v>0.18074845885999999</v>
      </c>
      <c r="I28" s="192">
        <v>9.7485521952666604E-2</v>
      </c>
      <c r="J28" s="192">
        <v>0.63036639404000006</v>
      </c>
      <c r="K28" s="192">
        <v>0.44557610065333297</v>
      </c>
      <c r="L28" s="192">
        <v>0.29758558656</v>
      </c>
      <c r="M28" s="192">
        <v>7.3043768246666599E-2</v>
      </c>
      <c r="N28" s="192">
        <v>2.4482071717333301E-2</v>
      </c>
      <c r="O28" s="192">
        <v>2.1308761358666599E-2</v>
      </c>
      <c r="P28" s="192">
        <v>5.24040416073333E-2</v>
      </c>
      <c r="Q28" s="192">
        <v>0.162294034959999</v>
      </c>
      <c r="R28" s="192">
        <v>7.3826879818666605E-2</v>
      </c>
      <c r="S28" s="192">
        <v>2.7926136493333299E-2</v>
      </c>
      <c r="T28" s="192">
        <v>0.26055627442666601</v>
      </c>
      <c r="U28" s="192">
        <v>0.35170597839333301</v>
      </c>
      <c r="V28" s="192">
        <v>0.31702003096666598</v>
      </c>
      <c r="W28" s="192">
        <v>5.6026278178666601E-2</v>
      </c>
      <c r="X28" s="192">
        <v>0.25688940047999897</v>
      </c>
      <c r="Y28" s="192">
        <v>0.165186190926666</v>
      </c>
      <c r="Z28" s="192">
        <v>5.0937159221333302E-2</v>
      </c>
      <c r="AA28" s="192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2"/>
      <c r="AV28" s="192"/>
      <c r="AW28" s="192"/>
      <c r="AX28" s="192"/>
      <c r="AY28" s="192"/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  <c r="BV28" s="192"/>
      <c r="BW28" s="192"/>
      <c r="BX28" s="192"/>
    </row>
    <row r="29" spans="1:76">
      <c r="A29" s="192">
        <v>475</v>
      </c>
      <c r="B29" s="192">
        <v>0.68873086039999998</v>
      </c>
      <c r="C29" s="192">
        <v>0.32049715169333298</v>
      </c>
      <c r="D29" s="192">
        <v>3.10946427986666E-2</v>
      </c>
      <c r="E29" s="192">
        <v>0.167896367399999</v>
      </c>
      <c r="F29" s="192">
        <v>8.8333961486000007E-2</v>
      </c>
      <c r="G29" s="192">
        <v>1.43131347493333E-2</v>
      </c>
      <c r="H29" s="192">
        <v>0.17872668076000001</v>
      </c>
      <c r="I29" s="192">
        <v>0.102764546706666</v>
      </c>
      <c r="J29" s="192">
        <v>0.64162860871333305</v>
      </c>
      <c r="K29" s="192">
        <v>0.46201661935999899</v>
      </c>
      <c r="L29" s="192">
        <v>0.31452083714666601</v>
      </c>
      <c r="M29" s="192">
        <v>7.9125617346000002E-2</v>
      </c>
      <c r="N29" s="192">
        <v>3.2010848204666598E-2</v>
      </c>
      <c r="O29" s="192">
        <v>2.97335322706666E-2</v>
      </c>
      <c r="P29" s="192">
        <v>6.8406279245999901E-2</v>
      </c>
      <c r="Q29" s="192">
        <v>0.17683098093333299</v>
      </c>
      <c r="R29" s="192">
        <v>8.3571705818666603E-2</v>
      </c>
      <c r="S29" s="192">
        <v>3.29069013599999E-2</v>
      </c>
      <c r="T29" s="192">
        <v>0.25730916468666598</v>
      </c>
      <c r="U29" s="192">
        <v>0.37386668903333298</v>
      </c>
      <c r="V29" s="192">
        <v>0.32222308349333301</v>
      </c>
      <c r="W29" s="192">
        <v>6.8019718487999897E-2</v>
      </c>
      <c r="X29" s="192">
        <v>0.26618419902000001</v>
      </c>
      <c r="Y29" s="192">
        <v>0.18229912312666599</v>
      </c>
      <c r="Z29" s="192">
        <v>5.9200776099999901E-2</v>
      </c>
      <c r="AA29" s="192"/>
      <c r="AB29" s="192"/>
      <c r="AC29" s="192"/>
      <c r="AD29" s="192"/>
      <c r="AE29" s="192"/>
      <c r="AF29" s="192"/>
      <c r="AG29" s="192"/>
      <c r="AH29" s="192"/>
      <c r="AI29" s="192"/>
      <c r="AJ29" s="192"/>
      <c r="AK29" s="19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2"/>
      <c r="BJ29" s="192"/>
      <c r="BK29" s="192"/>
      <c r="BL29" s="192"/>
      <c r="BM29" s="192"/>
      <c r="BN29" s="192"/>
      <c r="BO29" s="192"/>
      <c r="BP29" s="192"/>
      <c r="BQ29" s="192"/>
      <c r="BR29" s="192"/>
      <c r="BS29" s="192"/>
      <c r="BT29" s="192"/>
      <c r="BU29" s="192"/>
      <c r="BV29" s="192"/>
      <c r="BW29" s="192"/>
      <c r="BX29" s="192"/>
    </row>
    <row r="30" spans="1:76">
      <c r="A30" s="192">
        <v>480</v>
      </c>
      <c r="B30" s="192">
        <v>0.694493347159999</v>
      </c>
      <c r="C30" s="192">
        <v>0.326700790393333</v>
      </c>
      <c r="D30" s="192">
        <v>3.5052495002666599E-2</v>
      </c>
      <c r="E30" s="192">
        <v>0.16342589442</v>
      </c>
      <c r="F30" s="192">
        <v>0.109514396659999</v>
      </c>
      <c r="G30" s="192">
        <v>2.30362843666666E-2</v>
      </c>
      <c r="H30" s="192">
        <v>0.17342314657333299</v>
      </c>
      <c r="I30" s="192">
        <v>0.106480356213333</v>
      </c>
      <c r="J30" s="192">
        <v>0.65278784179333305</v>
      </c>
      <c r="K30" s="192">
        <v>0.47818649545333303</v>
      </c>
      <c r="L30" s="192">
        <v>0.33146290334</v>
      </c>
      <c r="M30" s="192">
        <v>8.47328281406666E-2</v>
      </c>
      <c r="N30" s="192">
        <v>4.2349565505333302E-2</v>
      </c>
      <c r="O30" s="192">
        <v>4.2228094417999899E-2</v>
      </c>
      <c r="P30" s="192">
        <v>9.0575767521333297E-2</v>
      </c>
      <c r="Q30" s="192">
        <v>0.19138656743999899</v>
      </c>
      <c r="R30" s="192">
        <v>9.3925132115333307E-2</v>
      </c>
      <c r="S30" s="192">
        <v>3.83843831999999E-2</v>
      </c>
      <c r="T30" s="192">
        <v>0.250334758739999</v>
      </c>
      <c r="U30" s="192">
        <v>0.39669750977999901</v>
      </c>
      <c r="V30" s="192">
        <v>0.32450576527333302</v>
      </c>
      <c r="W30" s="192">
        <v>8.24169991813333E-2</v>
      </c>
      <c r="X30" s="192">
        <v>0.273708188379999</v>
      </c>
      <c r="Y30" s="192">
        <v>0.20037655894</v>
      </c>
      <c r="Z30" s="192">
        <v>6.8451364197999895E-2</v>
      </c>
      <c r="AA30" s="192"/>
      <c r="AB30" s="192"/>
      <c r="AC30" s="192"/>
      <c r="AD30" s="192"/>
      <c r="AE30" s="192"/>
      <c r="AF30" s="192"/>
      <c r="AG30" s="192"/>
      <c r="AH30" s="192"/>
      <c r="AI30" s="192"/>
      <c r="AJ30" s="192"/>
      <c r="AK30" s="192"/>
      <c r="AL30" s="192"/>
      <c r="AM30" s="192"/>
      <c r="AN30" s="192"/>
      <c r="AO30" s="192"/>
      <c r="AP30" s="192"/>
      <c r="AQ30" s="192"/>
      <c r="AR30" s="192"/>
      <c r="AS30" s="192"/>
      <c r="AT30" s="192"/>
      <c r="AU30" s="192"/>
      <c r="AV30" s="192"/>
      <c r="AW30" s="192"/>
      <c r="AX30" s="192"/>
      <c r="AY30" s="192"/>
      <c r="AZ30" s="192"/>
      <c r="BA30" s="192"/>
      <c r="BB30" s="192"/>
      <c r="BC30" s="192"/>
      <c r="BD30" s="192"/>
      <c r="BE30" s="192"/>
      <c r="BF30" s="192"/>
      <c r="BG30" s="192"/>
      <c r="BH30" s="192"/>
      <c r="BI30" s="192"/>
      <c r="BJ30" s="192"/>
      <c r="BK30" s="192"/>
      <c r="BL30" s="192"/>
      <c r="BM30" s="192"/>
      <c r="BN30" s="192"/>
      <c r="BO30" s="192"/>
      <c r="BP30" s="192"/>
      <c r="BQ30" s="192"/>
      <c r="BR30" s="192"/>
      <c r="BS30" s="192"/>
      <c r="BT30" s="192"/>
      <c r="BU30" s="192"/>
      <c r="BV30" s="192"/>
      <c r="BW30" s="192"/>
      <c r="BX30" s="192"/>
    </row>
    <row r="31" spans="1:76">
      <c r="A31" s="192">
        <v>485</v>
      </c>
      <c r="B31" s="192">
        <v>0.69764160665333297</v>
      </c>
      <c r="C31" s="192">
        <v>0.328098721826666</v>
      </c>
      <c r="D31" s="192">
        <v>3.8017229239333303E-2</v>
      </c>
      <c r="E31" s="192">
        <v>0.15475560125333301</v>
      </c>
      <c r="F31" s="192">
        <v>0.13337259166000001</v>
      </c>
      <c r="G31" s="192">
        <v>3.5986995219333302E-2</v>
      </c>
      <c r="H31" s="192">
        <v>0.16379863166</v>
      </c>
      <c r="I31" s="192">
        <v>0.107101312633333</v>
      </c>
      <c r="J31" s="192">
        <v>0.66088719686666597</v>
      </c>
      <c r="K31" s="192">
        <v>0.49096755473333298</v>
      </c>
      <c r="L31" s="192">
        <v>0.345318819666666</v>
      </c>
      <c r="M31" s="192">
        <v>8.7932177861333297E-2</v>
      </c>
      <c r="N31" s="192">
        <v>5.4705302556666599E-2</v>
      </c>
      <c r="O31" s="192">
        <v>5.89027156839999E-2</v>
      </c>
      <c r="P31" s="192">
        <v>0.11785291671999901</v>
      </c>
      <c r="Q31" s="192">
        <v>0.20391809718000001</v>
      </c>
      <c r="R31" s="192">
        <v>0.10279408771533299</v>
      </c>
      <c r="S31" s="192">
        <v>4.3307284355333299E-2</v>
      </c>
      <c r="T31" s="192">
        <v>0.23836538568666599</v>
      </c>
      <c r="U31" s="192">
        <v>0.41743514504666601</v>
      </c>
      <c r="V31" s="192">
        <v>0.32198867416666599</v>
      </c>
      <c r="W31" s="192">
        <v>9.80352872193333E-2</v>
      </c>
      <c r="X31" s="192">
        <v>0.27684504445333302</v>
      </c>
      <c r="Y31" s="192">
        <v>0.21715841548000001</v>
      </c>
      <c r="Z31" s="192">
        <v>7.6992773057333305E-2</v>
      </c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2"/>
      <c r="BH31" s="192"/>
      <c r="BI31" s="192"/>
      <c r="BJ31" s="192"/>
      <c r="BK31" s="192"/>
      <c r="BL31" s="192"/>
      <c r="BM31" s="192"/>
      <c r="BN31" s="192"/>
      <c r="BO31" s="192"/>
      <c r="BP31" s="192"/>
      <c r="BQ31" s="192"/>
      <c r="BR31" s="192"/>
      <c r="BS31" s="192"/>
      <c r="BT31" s="192"/>
      <c r="BU31" s="192"/>
      <c r="BV31" s="192"/>
      <c r="BW31" s="192"/>
      <c r="BX31" s="192"/>
    </row>
    <row r="32" spans="1:76">
      <c r="A32" s="192">
        <v>490</v>
      </c>
      <c r="B32" s="192">
        <v>0.69784424335999895</v>
      </c>
      <c r="C32" s="192">
        <v>0.32403085326666597</v>
      </c>
      <c r="D32" s="192">
        <v>3.9812346142E-2</v>
      </c>
      <c r="E32" s="192">
        <v>0.14269215392666601</v>
      </c>
      <c r="F32" s="192">
        <v>0.159617378226666</v>
      </c>
      <c r="G32" s="192">
        <v>5.6179341315999901E-2</v>
      </c>
      <c r="H32" s="192">
        <v>0.15046021969999901</v>
      </c>
      <c r="I32" s="192">
        <v>0.10453280130000001</v>
      </c>
      <c r="J32" s="192">
        <v>0.66628047688666603</v>
      </c>
      <c r="K32" s="192">
        <v>0.49993698375999901</v>
      </c>
      <c r="L32" s="192">
        <v>0.35486208851333301</v>
      </c>
      <c r="M32" s="192">
        <v>8.84925359093333E-2</v>
      </c>
      <c r="N32" s="192">
        <v>6.8880797706000002E-2</v>
      </c>
      <c r="O32" s="192">
        <v>8.0680754024666596E-2</v>
      </c>
      <c r="P32" s="192">
        <v>0.15084931373333299</v>
      </c>
      <c r="Q32" s="192">
        <v>0.21250767262</v>
      </c>
      <c r="R32" s="192">
        <v>0.109444132493333</v>
      </c>
      <c r="S32" s="192">
        <v>4.7114933648666597E-2</v>
      </c>
      <c r="T32" s="192">
        <v>0.221902917226666</v>
      </c>
      <c r="U32" s="192">
        <v>0.43471636962666599</v>
      </c>
      <c r="V32" s="192">
        <v>0.31424944940666599</v>
      </c>
      <c r="W32" s="192">
        <v>0.11360141880666599</v>
      </c>
      <c r="X32" s="192">
        <v>0.27485388565333302</v>
      </c>
      <c r="Y32" s="192">
        <v>0.230806749979999</v>
      </c>
      <c r="Z32" s="192">
        <v>8.4031542459333294E-2</v>
      </c>
      <c r="AA32" s="192"/>
      <c r="AB32" s="192"/>
      <c r="AC32" s="192"/>
      <c r="AD32" s="192"/>
      <c r="AE32" s="192"/>
      <c r="AF32" s="192"/>
      <c r="AG32" s="192"/>
      <c r="AH32" s="192"/>
      <c r="AI32" s="192"/>
      <c r="AJ32" s="192"/>
      <c r="AK32" s="192"/>
      <c r="AL32" s="192"/>
      <c r="AM32" s="192"/>
      <c r="AN32" s="192"/>
      <c r="AO32" s="192"/>
      <c r="AP32" s="192"/>
      <c r="AQ32" s="192"/>
      <c r="AR32" s="192"/>
      <c r="AS32" s="192"/>
      <c r="AT32" s="192"/>
      <c r="AU32" s="192"/>
      <c r="AV32" s="192"/>
      <c r="AW32" s="192"/>
      <c r="AX32" s="192"/>
      <c r="AY32" s="192"/>
      <c r="AZ32" s="192"/>
      <c r="BA32" s="192"/>
      <c r="BB32" s="192"/>
      <c r="BC32" s="192"/>
      <c r="BD32" s="192"/>
      <c r="BE32" s="192"/>
      <c r="BF32" s="192"/>
      <c r="BG32" s="192"/>
      <c r="BH32" s="192"/>
      <c r="BI32" s="192"/>
      <c r="BJ32" s="192"/>
      <c r="BK32" s="192"/>
      <c r="BL32" s="192"/>
      <c r="BM32" s="192"/>
      <c r="BN32" s="192"/>
      <c r="BO32" s="192"/>
      <c r="BP32" s="192"/>
      <c r="BQ32" s="192"/>
      <c r="BR32" s="192"/>
      <c r="BS32" s="192"/>
      <c r="BT32" s="192"/>
      <c r="BU32" s="192"/>
      <c r="BV32" s="192"/>
      <c r="BW32" s="192"/>
      <c r="BX32" s="192"/>
    </row>
    <row r="33" spans="1:76">
      <c r="A33" s="192">
        <v>495</v>
      </c>
      <c r="B33" s="192">
        <v>0.69609155781999899</v>
      </c>
      <c r="C33" s="192">
        <v>0.314489944446666</v>
      </c>
      <c r="D33" s="192">
        <v>3.9423557758000001E-2</v>
      </c>
      <c r="E33" s="192">
        <v>0.127885180793333</v>
      </c>
      <c r="F33" s="192">
        <v>0.184626253746666</v>
      </c>
      <c r="G33" s="192">
        <v>8.3230743091333298E-2</v>
      </c>
      <c r="H33" s="192">
        <v>0.13434773890000001</v>
      </c>
      <c r="I33" s="192">
        <v>9.8667741778666607E-2</v>
      </c>
      <c r="J33" s="192">
        <v>0.66925889587333298</v>
      </c>
      <c r="K33" s="192">
        <v>0.50446275075333302</v>
      </c>
      <c r="L33" s="192">
        <v>0.35924625905333302</v>
      </c>
      <c r="M33" s="192">
        <v>8.5734879174666601E-2</v>
      </c>
      <c r="N33" s="192">
        <v>8.2822688737333297E-2</v>
      </c>
      <c r="O33" s="192">
        <v>0.105454808544666</v>
      </c>
      <c r="P33" s="192">
        <v>0.18723831939999899</v>
      </c>
      <c r="Q33" s="192">
        <v>0.21649902471333299</v>
      </c>
      <c r="R33" s="192">
        <v>0.11243373935333301</v>
      </c>
      <c r="S33" s="192">
        <v>4.8743480681333301E-2</v>
      </c>
      <c r="T33" s="192">
        <v>0.20217105865333301</v>
      </c>
      <c r="U33" s="192">
        <v>0.44745202890666602</v>
      </c>
      <c r="V33" s="192">
        <v>0.30150306829333301</v>
      </c>
      <c r="W33" s="192">
        <v>0.126734711326666</v>
      </c>
      <c r="X33" s="192">
        <v>0.267827122999999</v>
      </c>
      <c r="Y33" s="192">
        <v>0.24008930714000001</v>
      </c>
      <c r="Z33" s="192">
        <v>8.8268145243333304E-2</v>
      </c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2"/>
      <c r="BH33" s="192"/>
      <c r="BI33" s="192"/>
      <c r="BJ33" s="192"/>
      <c r="BK33" s="192"/>
      <c r="BL33" s="192"/>
      <c r="BM33" s="192"/>
      <c r="BN33" s="192"/>
      <c r="BO33" s="192"/>
      <c r="BP33" s="192"/>
      <c r="BQ33" s="192"/>
      <c r="BR33" s="192"/>
      <c r="BS33" s="192"/>
      <c r="BT33" s="192"/>
      <c r="BU33" s="192"/>
      <c r="BV33" s="192"/>
      <c r="BW33" s="192"/>
      <c r="BX33" s="192"/>
    </row>
    <row r="34" spans="1:76">
      <c r="A34" s="192">
        <v>500</v>
      </c>
      <c r="B34" s="192">
        <v>0.69316051227999997</v>
      </c>
      <c r="C34" s="192">
        <v>0.29996748606666601</v>
      </c>
      <c r="D34" s="192">
        <v>3.7338669141333297E-2</v>
      </c>
      <c r="E34" s="192">
        <v>0.11189617220666601</v>
      </c>
      <c r="F34" s="192">
        <v>0.20756445948666599</v>
      </c>
      <c r="G34" s="192">
        <v>0.117405923219999</v>
      </c>
      <c r="H34" s="192">
        <v>0.116788819619999</v>
      </c>
      <c r="I34" s="192">
        <v>9.0192726771333304E-2</v>
      </c>
      <c r="J34" s="192">
        <v>0.67058215839333302</v>
      </c>
      <c r="K34" s="192">
        <v>0.50501814777999898</v>
      </c>
      <c r="L34" s="192">
        <v>0.35860675811333298</v>
      </c>
      <c r="M34" s="192">
        <v>8.0256320000666598E-2</v>
      </c>
      <c r="N34" s="192">
        <v>9.53573023486666E-2</v>
      </c>
      <c r="O34" s="192">
        <v>0.1322788849</v>
      </c>
      <c r="P34" s="192">
        <v>0.22443505731333299</v>
      </c>
      <c r="Q34" s="192">
        <v>0.21531786218666599</v>
      </c>
      <c r="R34" s="192">
        <v>0.111596449526666</v>
      </c>
      <c r="S34" s="192">
        <v>4.8168949127333299E-2</v>
      </c>
      <c r="T34" s="192">
        <v>0.18053420511333301</v>
      </c>
      <c r="U34" s="192">
        <v>0.45521951039333303</v>
      </c>
      <c r="V34" s="192">
        <v>0.284909862526666</v>
      </c>
      <c r="W34" s="192">
        <v>0.13651508840666601</v>
      </c>
      <c r="X34" s="192">
        <v>0.25603001149333299</v>
      </c>
      <c r="Y34" s="192">
        <v>0.244198727939999</v>
      </c>
      <c r="Z34" s="192">
        <v>8.9024700165333301E-2</v>
      </c>
      <c r="AA34" s="192"/>
      <c r="AB34" s="192"/>
      <c r="AC34" s="192"/>
      <c r="AD34" s="192"/>
      <c r="AE34" s="192"/>
      <c r="AF34" s="192"/>
      <c r="AG34" s="192"/>
      <c r="AH34" s="192"/>
      <c r="AI34" s="192"/>
      <c r="AJ34" s="192"/>
      <c r="AK34" s="192"/>
      <c r="AL34" s="192"/>
      <c r="AM34" s="192"/>
      <c r="AN34" s="192"/>
      <c r="AO34" s="192"/>
      <c r="AP34" s="192"/>
      <c r="AQ34" s="192"/>
      <c r="AR34" s="192"/>
      <c r="AS34" s="192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192"/>
      <c r="BV34" s="192"/>
      <c r="BW34" s="192"/>
      <c r="BX34" s="192"/>
    </row>
    <row r="35" spans="1:76">
      <c r="A35" s="192">
        <v>505</v>
      </c>
      <c r="B35" s="192">
        <v>0.68986321005999895</v>
      </c>
      <c r="C35" s="192">
        <v>0.28156581877999998</v>
      </c>
      <c r="D35" s="192">
        <v>3.4502660912000001E-2</v>
      </c>
      <c r="E35" s="192">
        <v>9.6577531179999995E-2</v>
      </c>
      <c r="F35" s="192">
        <v>0.22618616486000001</v>
      </c>
      <c r="G35" s="192">
        <v>0.15732833799333301</v>
      </c>
      <c r="H35" s="192">
        <v>0.100016945516</v>
      </c>
      <c r="I35" s="192">
        <v>8.0530354499333295E-2</v>
      </c>
      <c r="J35" s="192">
        <v>0.67092873128666597</v>
      </c>
      <c r="K35" s="192">
        <v>0.50222809091333298</v>
      </c>
      <c r="L35" s="192">
        <v>0.35338231403999998</v>
      </c>
      <c r="M35" s="192">
        <v>7.3522001583999894E-2</v>
      </c>
      <c r="N35" s="192">
        <v>0.105519776673333</v>
      </c>
      <c r="O35" s="192">
        <v>0.15871898842666601</v>
      </c>
      <c r="P35" s="192">
        <v>0.26041851170666602</v>
      </c>
      <c r="Q35" s="192">
        <v>0.20991848500666599</v>
      </c>
      <c r="R35" s="192">
        <v>0.107607651373333</v>
      </c>
      <c r="S35" s="192">
        <v>4.5759039241999901E-2</v>
      </c>
      <c r="T35" s="192">
        <v>0.158788933433333</v>
      </c>
      <c r="U35" s="192">
        <v>0.45844487762000002</v>
      </c>
      <c r="V35" s="192">
        <v>0.26609663772666597</v>
      </c>
      <c r="W35" s="192">
        <v>0.14216670099333301</v>
      </c>
      <c r="X35" s="192">
        <v>0.241218273166666</v>
      </c>
      <c r="Y35" s="192">
        <v>0.24346896998000001</v>
      </c>
      <c r="Z35" s="192">
        <v>8.7321271261333294E-2</v>
      </c>
      <c r="AA35" s="192"/>
      <c r="AB35" s="192"/>
      <c r="AC35" s="192"/>
      <c r="AD35" s="192"/>
      <c r="AE35" s="192"/>
      <c r="AF35" s="192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192"/>
      <c r="AR35" s="192"/>
      <c r="AS35" s="192"/>
      <c r="AT35" s="192"/>
      <c r="AU35" s="192"/>
      <c r="AV35" s="192"/>
      <c r="AW35" s="192"/>
      <c r="AX35" s="192"/>
      <c r="AY35" s="192"/>
      <c r="AZ35" s="192"/>
      <c r="BA35" s="192"/>
      <c r="BB35" s="192"/>
      <c r="BC35" s="192"/>
      <c r="BD35" s="192"/>
      <c r="BE35" s="192"/>
      <c r="BF35" s="192"/>
      <c r="BG35" s="192"/>
      <c r="BH35" s="192"/>
      <c r="BI35" s="192"/>
      <c r="BJ35" s="192"/>
      <c r="BK35" s="192"/>
      <c r="BL35" s="192"/>
      <c r="BM35" s="192"/>
      <c r="BN35" s="192"/>
      <c r="BO35" s="192"/>
      <c r="BP35" s="192"/>
      <c r="BQ35" s="192"/>
      <c r="BR35" s="192"/>
      <c r="BS35" s="192"/>
      <c r="BT35" s="192"/>
      <c r="BU35" s="192"/>
      <c r="BV35" s="192"/>
      <c r="BW35" s="192"/>
      <c r="BX35" s="192"/>
    </row>
    <row r="36" spans="1:76">
      <c r="A36" s="192">
        <v>510</v>
      </c>
      <c r="B36" s="192">
        <v>0.68656285094000002</v>
      </c>
      <c r="C36" s="192">
        <v>0.25966900127333298</v>
      </c>
      <c r="D36" s="192">
        <v>3.0278884885333299E-2</v>
      </c>
      <c r="E36" s="192">
        <v>8.1695941607999895E-2</v>
      </c>
      <c r="F36" s="192">
        <v>0.23821689097333301</v>
      </c>
      <c r="G36" s="192">
        <v>0.19982469176666601</v>
      </c>
      <c r="H36" s="192">
        <v>8.3490101813333301E-2</v>
      </c>
      <c r="I36" s="192">
        <v>6.9766564051999894E-2</v>
      </c>
      <c r="J36" s="192">
        <v>0.66990126037333297</v>
      </c>
      <c r="K36" s="192">
        <v>0.49580624134666601</v>
      </c>
      <c r="L36" s="192">
        <v>0.34372762297333298</v>
      </c>
      <c r="M36" s="192">
        <v>6.5249873479333295E-2</v>
      </c>
      <c r="N36" s="192">
        <v>0.11158697317333301</v>
      </c>
      <c r="O36" s="192">
        <v>0.18244760004666599</v>
      </c>
      <c r="P36" s="192">
        <v>0.2923731041</v>
      </c>
      <c r="Q36" s="192">
        <v>0.20028389739999999</v>
      </c>
      <c r="R36" s="192">
        <v>0.100518483478666</v>
      </c>
      <c r="S36" s="192">
        <v>4.1744316418666598E-2</v>
      </c>
      <c r="T36" s="192">
        <v>0.13748540113999899</v>
      </c>
      <c r="U36" s="192">
        <v>0.456135663353333</v>
      </c>
      <c r="V36" s="192">
        <v>0.24530529784666599</v>
      </c>
      <c r="W36" s="192">
        <v>0.14315327580666601</v>
      </c>
      <c r="X36" s="192">
        <v>0.223258324953333</v>
      </c>
      <c r="Y36" s="192">
        <v>0.23830619813333301</v>
      </c>
      <c r="Z36" s="192">
        <v>8.2380740482000003E-2</v>
      </c>
      <c r="AA36" s="192"/>
      <c r="AB36" s="19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  <c r="AX36" s="192"/>
      <c r="AY36" s="192"/>
      <c r="AZ36" s="192"/>
      <c r="BA36" s="192"/>
      <c r="BB36" s="192"/>
      <c r="BC36" s="192"/>
      <c r="BD36" s="192"/>
      <c r="BE36" s="192"/>
      <c r="BF36" s="192"/>
      <c r="BG36" s="192"/>
      <c r="BH36" s="192"/>
      <c r="BI36" s="192"/>
      <c r="BJ36" s="192"/>
      <c r="BK36" s="192"/>
      <c r="BL36" s="192"/>
      <c r="BM36" s="192"/>
      <c r="BN36" s="192"/>
      <c r="BO36" s="192"/>
      <c r="BP36" s="192"/>
      <c r="BQ36" s="192"/>
      <c r="BR36" s="192"/>
      <c r="BS36" s="192"/>
      <c r="BT36" s="192"/>
      <c r="BU36" s="192"/>
      <c r="BV36" s="192"/>
      <c r="BW36" s="192"/>
      <c r="BX36" s="192"/>
    </row>
    <row r="37" spans="1:76">
      <c r="A37" s="192">
        <v>515</v>
      </c>
      <c r="B37" s="192">
        <v>0.68237474568666601</v>
      </c>
      <c r="C37" s="192">
        <v>0.23598596954666601</v>
      </c>
      <c r="D37" s="192">
        <v>2.6618749141999999E-2</v>
      </c>
      <c r="E37" s="192">
        <v>6.9313871383333295E-2</v>
      </c>
      <c r="F37" s="192">
        <v>0.244159520466666</v>
      </c>
      <c r="G37" s="192">
        <v>0.24144925308666601</v>
      </c>
      <c r="H37" s="192">
        <v>6.9393218040666602E-2</v>
      </c>
      <c r="I37" s="192">
        <v>6.0312446593333298E-2</v>
      </c>
      <c r="J37" s="192">
        <v>0.66793234762666598</v>
      </c>
      <c r="K37" s="192">
        <v>0.48704272714666602</v>
      </c>
      <c r="L37" s="192">
        <v>0.331278536486666</v>
      </c>
      <c r="M37" s="192">
        <v>5.7610957145999897E-2</v>
      </c>
      <c r="N37" s="192">
        <v>0.114899438213333</v>
      </c>
      <c r="O37" s="192">
        <v>0.20219939675999901</v>
      </c>
      <c r="P37" s="192">
        <v>0.31867967476666598</v>
      </c>
      <c r="Q37" s="192">
        <v>0.188598196673333</v>
      </c>
      <c r="R37" s="192">
        <v>9.2271722793999894E-2</v>
      </c>
      <c r="S37" s="192">
        <v>3.7433427810666602E-2</v>
      </c>
      <c r="T37" s="192">
        <v>0.118257853186666</v>
      </c>
      <c r="U37" s="192">
        <v>0.44907267252666599</v>
      </c>
      <c r="V37" s="192">
        <v>0.22480702591333299</v>
      </c>
      <c r="W37" s="192">
        <v>0.14045550728</v>
      </c>
      <c r="X37" s="192">
        <v>0.20506944782</v>
      </c>
      <c r="Y37" s="192">
        <v>0.230307783759999</v>
      </c>
      <c r="Z37" s="192">
        <v>7.6454506556000001E-2</v>
      </c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</row>
    <row r="38" spans="1:76">
      <c r="A38" s="192">
        <v>520</v>
      </c>
      <c r="B38" s="192">
        <v>0.67555086263333297</v>
      </c>
      <c r="C38" s="192">
        <v>0.211285579693333</v>
      </c>
      <c r="D38" s="192">
        <v>2.308185657E-2</v>
      </c>
      <c r="E38" s="192">
        <v>5.8751287460666601E-2</v>
      </c>
      <c r="F38" s="192">
        <v>0.243408088679999</v>
      </c>
      <c r="G38" s="192">
        <v>0.27886969375333298</v>
      </c>
      <c r="H38" s="192">
        <v>5.7332895277999903E-2</v>
      </c>
      <c r="I38" s="192">
        <v>5.1609508196666598E-2</v>
      </c>
      <c r="J38" s="192">
        <v>0.66310856629333303</v>
      </c>
      <c r="K38" s="192">
        <v>0.47515733845999902</v>
      </c>
      <c r="L38" s="192">
        <v>0.31635636902666597</v>
      </c>
      <c r="M38" s="192">
        <v>5.0432119688000002E-2</v>
      </c>
      <c r="N38" s="192">
        <v>0.11477506193333301</v>
      </c>
      <c r="O38" s="192">
        <v>0.216410729726666</v>
      </c>
      <c r="P38" s="192">
        <v>0.33690211487333299</v>
      </c>
      <c r="Q38" s="192">
        <v>0.175265378313333</v>
      </c>
      <c r="R38" s="192">
        <v>8.3134906134666606E-2</v>
      </c>
      <c r="S38" s="192">
        <v>3.2448287167999898E-2</v>
      </c>
      <c r="T38" s="192">
        <v>0.101558822633333</v>
      </c>
      <c r="U38" s="192">
        <v>0.43649750265333298</v>
      </c>
      <c r="V38" s="192">
        <v>0.20479571152000001</v>
      </c>
      <c r="W38" s="192">
        <v>0.13451910145999901</v>
      </c>
      <c r="X38" s="192">
        <v>0.186179505673333</v>
      </c>
      <c r="Y38" s="192">
        <v>0.21977144114</v>
      </c>
      <c r="Z38" s="192">
        <v>6.9680089949333293E-2</v>
      </c>
      <c r="AA38" s="192"/>
      <c r="AB38" s="192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  <c r="AX38" s="192"/>
      <c r="AY38" s="192"/>
      <c r="AZ38" s="192"/>
      <c r="BA38" s="192"/>
      <c r="BB38" s="192"/>
      <c r="BC38" s="192"/>
      <c r="BD38" s="192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/>
      <c r="BU38" s="192"/>
      <c r="BV38" s="192"/>
      <c r="BW38" s="192"/>
      <c r="BX38" s="192"/>
    </row>
    <row r="39" spans="1:76">
      <c r="A39" s="192">
        <v>525</v>
      </c>
      <c r="B39" s="192">
        <v>0.66645804341333303</v>
      </c>
      <c r="C39" s="192">
        <v>0.18668891271333299</v>
      </c>
      <c r="D39" s="192">
        <v>2.0154233137333302E-2</v>
      </c>
      <c r="E39" s="192">
        <v>5.0603348096666598E-2</v>
      </c>
      <c r="F39" s="192">
        <v>0.23708034387999899</v>
      </c>
      <c r="G39" s="192">
        <v>0.309364607486666</v>
      </c>
      <c r="H39" s="192">
        <v>4.7478062947999902E-2</v>
      </c>
      <c r="I39" s="192">
        <v>4.4408267974666599E-2</v>
      </c>
      <c r="J39" s="192">
        <v>0.65524659729333301</v>
      </c>
      <c r="K39" s="192">
        <v>0.46093283844666599</v>
      </c>
      <c r="L39" s="192">
        <v>0.300612147026666</v>
      </c>
      <c r="M39" s="192">
        <v>4.4673679669333298E-2</v>
      </c>
      <c r="N39" s="192">
        <v>0.112887056339999</v>
      </c>
      <c r="O39" s="192">
        <v>0.225135768886666</v>
      </c>
      <c r="P39" s="192">
        <v>0.34707032521333298</v>
      </c>
      <c r="Q39" s="192">
        <v>0.16208915263999901</v>
      </c>
      <c r="R39" s="192">
        <v>7.4706348417333299E-2</v>
      </c>
      <c r="S39" s="192">
        <v>2.8121734619333299E-2</v>
      </c>
      <c r="T39" s="192">
        <v>8.7159958520666603E-2</v>
      </c>
      <c r="U39" s="192">
        <v>0.41984910329333303</v>
      </c>
      <c r="V39" s="192">
        <v>0.186493235273333</v>
      </c>
      <c r="W39" s="192">
        <v>0.12695693206</v>
      </c>
      <c r="X39" s="192">
        <v>0.16847820281333301</v>
      </c>
      <c r="Y39" s="192">
        <v>0.20881141536</v>
      </c>
      <c r="Z39" s="192">
        <v>6.3244986851333299E-2</v>
      </c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2"/>
      <c r="AX39" s="192"/>
      <c r="AY39" s="192"/>
      <c r="AZ39" s="192"/>
      <c r="BA39" s="192"/>
      <c r="BB39" s="192"/>
      <c r="BC39" s="192"/>
      <c r="BD39" s="192"/>
      <c r="BE39" s="192"/>
      <c r="BF39" s="192"/>
      <c r="BG39" s="192"/>
      <c r="BH39" s="192"/>
      <c r="BI39" s="192"/>
      <c r="BJ39" s="192"/>
      <c r="BK39" s="192"/>
      <c r="BL39" s="192"/>
      <c r="BM39" s="192"/>
      <c r="BN39" s="192"/>
      <c r="BO39" s="192"/>
      <c r="BP39" s="192"/>
      <c r="BQ39" s="192"/>
      <c r="BR39" s="192"/>
      <c r="BS39" s="192"/>
      <c r="BT39" s="192"/>
      <c r="BU39" s="192"/>
      <c r="BV39" s="192"/>
      <c r="BW39" s="192"/>
      <c r="BX39" s="192"/>
    </row>
    <row r="40" spans="1:76">
      <c r="A40" s="192">
        <v>530</v>
      </c>
      <c r="B40" s="192">
        <v>0.65635281880666596</v>
      </c>
      <c r="C40" s="192">
        <v>0.16379843965999899</v>
      </c>
      <c r="D40" s="192">
        <v>1.8076370319333301E-2</v>
      </c>
      <c r="E40" s="192">
        <v>4.4882338842666597E-2</v>
      </c>
      <c r="F40" s="192">
        <v>0.22732905451333299</v>
      </c>
      <c r="G40" s="192">
        <v>0.33310255432666602</v>
      </c>
      <c r="H40" s="192">
        <v>3.9978167374666598E-2</v>
      </c>
      <c r="I40" s="192">
        <v>3.8688258807333301E-2</v>
      </c>
      <c r="J40" s="192">
        <v>0.64614546203999901</v>
      </c>
      <c r="K40" s="192">
        <v>0.44676926676000001</v>
      </c>
      <c r="L40" s="192">
        <v>0.28536574808666598</v>
      </c>
      <c r="M40" s="192">
        <v>4.0293701488666601E-2</v>
      </c>
      <c r="N40" s="192">
        <v>0.11058330092</v>
      </c>
      <c r="O40" s="192">
        <v>0.23032356644666599</v>
      </c>
      <c r="P40" s="192">
        <v>0.35130115507999898</v>
      </c>
      <c r="Q40" s="192">
        <v>0.15011946996</v>
      </c>
      <c r="R40" s="192">
        <v>6.7367912609999997E-2</v>
      </c>
      <c r="S40" s="192">
        <v>2.4611705144000001E-2</v>
      </c>
      <c r="T40" s="192">
        <v>7.5856326739333305E-2</v>
      </c>
      <c r="U40" s="192">
        <v>0.40018187458666599</v>
      </c>
      <c r="V40" s="192">
        <v>0.17102702712666601</v>
      </c>
      <c r="W40" s="192">
        <v>0.119032495499999</v>
      </c>
      <c r="X40" s="192">
        <v>0.15294024911999901</v>
      </c>
      <c r="Y40" s="192">
        <v>0.19859777578666599</v>
      </c>
      <c r="Z40" s="192">
        <v>5.7749788920666602E-2</v>
      </c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  <c r="AX40" s="192"/>
      <c r="AY40" s="192"/>
      <c r="AZ40" s="192"/>
      <c r="BA40" s="192"/>
      <c r="BB40" s="192"/>
      <c r="BC40" s="192"/>
      <c r="BD40" s="192"/>
      <c r="BE40" s="192"/>
      <c r="BF40" s="192"/>
      <c r="BG40" s="192"/>
      <c r="BH40" s="192"/>
      <c r="BI40" s="192"/>
      <c r="BJ40" s="192"/>
      <c r="BK40" s="192"/>
      <c r="BL40" s="192"/>
      <c r="BM40" s="192"/>
      <c r="BN40" s="192"/>
      <c r="BO40" s="192"/>
      <c r="BP40" s="192"/>
      <c r="BQ40" s="192"/>
      <c r="BR40" s="192"/>
      <c r="BS40" s="192"/>
      <c r="BT40" s="192"/>
      <c r="BU40" s="192"/>
      <c r="BV40" s="192"/>
      <c r="BW40" s="192"/>
      <c r="BX40" s="192"/>
    </row>
    <row r="41" spans="1:76">
      <c r="A41" s="192">
        <v>535</v>
      </c>
      <c r="B41" s="192">
        <v>0.64575108844666596</v>
      </c>
      <c r="C41" s="192">
        <v>0.14294347000666599</v>
      </c>
      <c r="D41" s="192">
        <v>1.6724314848666599E-2</v>
      </c>
      <c r="E41" s="192">
        <v>4.1102680205999997E-2</v>
      </c>
      <c r="F41" s="192">
        <v>0.21567721812000001</v>
      </c>
      <c r="G41" s="192">
        <v>0.351290804546666</v>
      </c>
      <c r="H41" s="192">
        <v>3.4246292590666597E-2</v>
      </c>
      <c r="I41" s="192">
        <v>3.4809591293333303E-2</v>
      </c>
      <c r="J41" s="192">
        <v>0.63650407156</v>
      </c>
      <c r="K41" s="192">
        <v>0.433735104893333</v>
      </c>
      <c r="L41" s="192">
        <v>0.27215375390666602</v>
      </c>
      <c r="M41" s="192">
        <v>3.7378981906666602E-2</v>
      </c>
      <c r="N41" s="192">
        <v>0.108882681533333</v>
      </c>
      <c r="O41" s="192">
        <v>0.23382794697999901</v>
      </c>
      <c r="P41" s="192">
        <v>0.35118552397333302</v>
      </c>
      <c r="Q41" s="192">
        <v>0.14028852017333299</v>
      </c>
      <c r="R41" s="192">
        <v>6.1514250438666603E-2</v>
      </c>
      <c r="S41" s="192">
        <v>2.1986932913999901E-2</v>
      </c>
      <c r="T41" s="192">
        <v>6.7170893033333304E-2</v>
      </c>
      <c r="U41" s="192">
        <v>0.37941230011999899</v>
      </c>
      <c r="V41" s="192">
        <v>0.15858146031999901</v>
      </c>
      <c r="W41" s="192">
        <v>0.111892943053333</v>
      </c>
      <c r="X41" s="192">
        <v>0.13997035216666601</v>
      </c>
      <c r="Y41" s="192">
        <v>0.19077653757333299</v>
      </c>
      <c r="Z41" s="192">
        <v>5.3654363634666601E-2</v>
      </c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2"/>
      <c r="BH41" s="192"/>
      <c r="BI41" s="192"/>
      <c r="BJ41" s="192"/>
      <c r="BK41" s="192"/>
      <c r="BL41" s="192"/>
      <c r="BM41" s="192"/>
      <c r="BN41" s="192"/>
      <c r="BO41" s="192"/>
      <c r="BP41" s="192"/>
      <c r="BQ41" s="192"/>
      <c r="BR41" s="192"/>
      <c r="BS41" s="192"/>
      <c r="BT41" s="192"/>
      <c r="BU41" s="192"/>
      <c r="BV41" s="192"/>
      <c r="BW41" s="192"/>
      <c r="BX41" s="192"/>
    </row>
    <row r="42" spans="1:76">
      <c r="A42" s="192">
        <v>540</v>
      </c>
      <c r="B42" s="192">
        <v>0.63825910187333301</v>
      </c>
      <c r="C42" s="192">
        <v>0.124408957166666</v>
      </c>
      <c r="D42" s="192">
        <v>1.6151350418000001E-2</v>
      </c>
      <c r="E42" s="192">
        <v>3.9158906140666597E-2</v>
      </c>
      <c r="F42" s="192">
        <v>0.20421642812666599</v>
      </c>
      <c r="G42" s="192">
        <v>0.36710509745999997</v>
      </c>
      <c r="H42" s="192">
        <v>3.0217749118666599E-2</v>
      </c>
      <c r="I42" s="192">
        <v>3.2198963325333299E-2</v>
      </c>
      <c r="J42" s="192">
        <v>0.62938435364</v>
      </c>
      <c r="K42" s="192">
        <v>0.424199350993333</v>
      </c>
      <c r="L42" s="192">
        <v>0.262542846673333</v>
      </c>
      <c r="M42" s="192">
        <v>3.6149240652000002E-2</v>
      </c>
      <c r="N42" s="192">
        <v>0.10898848343333301</v>
      </c>
      <c r="O42" s="192">
        <v>0.238024436953333</v>
      </c>
      <c r="P42" s="192">
        <v>0.34998647308666597</v>
      </c>
      <c r="Q42" s="192">
        <v>0.13309972192</v>
      </c>
      <c r="R42" s="192">
        <v>5.7304745037999899E-2</v>
      </c>
      <c r="S42" s="192">
        <v>2.0114798545999998E-2</v>
      </c>
      <c r="T42" s="192">
        <v>6.0716326395333302E-2</v>
      </c>
      <c r="U42" s="192">
        <v>0.359503481546666</v>
      </c>
      <c r="V42" s="192">
        <v>0.14983108140000001</v>
      </c>
      <c r="W42" s="192">
        <v>0.10623398274</v>
      </c>
      <c r="X42" s="192">
        <v>0.129954922993333</v>
      </c>
      <c r="Y42" s="192">
        <v>0.186118213646666</v>
      </c>
      <c r="Z42" s="192">
        <v>5.0946861267333297E-2</v>
      </c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  <c r="AX42" s="192"/>
      <c r="AY42" s="192"/>
      <c r="AZ42" s="192"/>
      <c r="BA42" s="192"/>
      <c r="BB42" s="192"/>
      <c r="BC42" s="192"/>
      <c r="BD42" s="192"/>
      <c r="BE42" s="192"/>
      <c r="BF42" s="192"/>
      <c r="BG42" s="192"/>
      <c r="BH42" s="192"/>
      <c r="BI42" s="192"/>
      <c r="BJ42" s="192"/>
      <c r="BK42" s="192"/>
      <c r="BL42" s="192"/>
      <c r="BM42" s="192"/>
      <c r="BN42" s="192"/>
      <c r="BO42" s="192"/>
      <c r="BP42" s="192"/>
      <c r="BQ42" s="192"/>
      <c r="BR42" s="192"/>
      <c r="BS42" s="192"/>
      <c r="BT42" s="192"/>
      <c r="BU42" s="192"/>
      <c r="BV42" s="192"/>
      <c r="BW42" s="192"/>
      <c r="BX42" s="192"/>
    </row>
    <row r="43" spans="1:76">
      <c r="A43" s="192">
        <v>545</v>
      </c>
      <c r="B43" s="192">
        <v>0.63456210836666604</v>
      </c>
      <c r="C43" s="192">
        <v>0.10882408205333299</v>
      </c>
      <c r="D43" s="192">
        <v>1.6445174773999899E-2</v>
      </c>
      <c r="E43" s="192">
        <v>3.9138968468000003E-2</v>
      </c>
      <c r="F43" s="192">
        <v>0.19383915074666599</v>
      </c>
      <c r="G43" s="192">
        <v>0.38273576101333301</v>
      </c>
      <c r="H43" s="192">
        <v>2.74400873173333E-2</v>
      </c>
      <c r="I43" s="192">
        <v>3.0997803051999898E-2</v>
      </c>
      <c r="J43" s="192">
        <v>0.62620174407333296</v>
      </c>
      <c r="K43" s="192">
        <v>0.41930385590000002</v>
      </c>
      <c r="L43" s="192">
        <v>0.25701559194666601</v>
      </c>
      <c r="M43" s="192">
        <v>3.6337888240666603E-2</v>
      </c>
      <c r="N43" s="192">
        <v>0.11156429799999899</v>
      </c>
      <c r="O43" s="192">
        <v>0.24493850708000001</v>
      </c>
      <c r="P43" s="192">
        <v>0.349662117006666</v>
      </c>
      <c r="Q43" s="192">
        <v>0.12895576604</v>
      </c>
      <c r="R43" s="192">
        <v>5.4800531387333297E-2</v>
      </c>
      <c r="S43" s="192">
        <v>1.8907218694666598E-2</v>
      </c>
      <c r="T43" s="192">
        <v>5.6469237645333299E-2</v>
      </c>
      <c r="U43" s="192">
        <v>0.341875422159999</v>
      </c>
      <c r="V43" s="192">
        <v>0.14452766672</v>
      </c>
      <c r="W43" s="192">
        <v>0.10269367726666601</v>
      </c>
      <c r="X43" s="192">
        <v>0.1228281606</v>
      </c>
      <c r="Y43" s="192">
        <v>0.185594959259999</v>
      </c>
      <c r="Z43" s="192">
        <v>4.9946778296E-2</v>
      </c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2"/>
      <c r="BH43" s="192"/>
      <c r="BI43" s="192"/>
      <c r="BJ43" s="192"/>
      <c r="BK43" s="192"/>
      <c r="BL43" s="192"/>
      <c r="BM43" s="192"/>
      <c r="BN43" s="192"/>
      <c r="BO43" s="192"/>
      <c r="BP43" s="192"/>
      <c r="BQ43" s="192"/>
      <c r="BR43" s="192"/>
      <c r="BS43" s="192"/>
      <c r="BT43" s="192"/>
      <c r="BU43" s="192"/>
      <c r="BV43" s="192"/>
      <c r="BW43" s="192"/>
      <c r="BX43" s="192"/>
    </row>
    <row r="44" spans="1:76">
      <c r="A44" s="192">
        <v>550</v>
      </c>
      <c r="B44" s="192">
        <v>0.63407113646666602</v>
      </c>
      <c r="C44" s="192">
        <v>9.5075410843333305E-2</v>
      </c>
      <c r="D44" s="192">
        <v>1.7340827146E-2</v>
      </c>
      <c r="E44" s="192">
        <v>4.0577947456666603E-2</v>
      </c>
      <c r="F44" s="192">
        <v>0.18449144617333299</v>
      </c>
      <c r="G44" s="192">
        <v>0.39926929983999998</v>
      </c>
      <c r="H44" s="192">
        <v>2.5430595238666601E-2</v>
      </c>
      <c r="I44" s="192">
        <v>3.0579288801333301E-2</v>
      </c>
      <c r="J44" s="192">
        <v>0.625953295399999</v>
      </c>
      <c r="K44" s="192">
        <v>0.41852016195333303</v>
      </c>
      <c r="L44" s="192">
        <v>0.25503724162000002</v>
      </c>
      <c r="M44" s="192">
        <v>3.8113668124000001E-2</v>
      </c>
      <c r="N44" s="192">
        <v>0.116846331906666</v>
      </c>
      <c r="O44" s="192">
        <v>0.25483777236666599</v>
      </c>
      <c r="P44" s="192">
        <v>0.350501757306666</v>
      </c>
      <c r="Q44" s="192">
        <v>0.127182608299999</v>
      </c>
      <c r="R44" s="192">
        <v>5.3604357401333298E-2</v>
      </c>
      <c r="S44" s="192">
        <v>1.83035130506666E-2</v>
      </c>
      <c r="T44" s="192">
        <v>5.3785232545333302E-2</v>
      </c>
      <c r="U44" s="192">
        <v>0.325450140633333</v>
      </c>
      <c r="V44" s="192">
        <v>0.142297681173333</v>
      </c>
      <c r="W44" s="192">
        <v>0.10072171974333299</v>
      </c>
      <c r="X44" s="192">
        <v>0.118003110873333</v>
      </c>
      <c r="Y44" s="192">
        <v>0.188630583453333</v>
      </c>
      <c r="Z44" s="192">
        <v>5.0316861152E-2</v>
      </c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</row>
    <row r="45" spans="1:76">
      <c r="A45" s="192">
        <v>555</v>
      </c>
      <c r="B45" s="192">
        <v>0.63559657032666605</v>
      </c>
      <c r="C45" s="192">
        <v>8.2536071141333295E-2</v>
      </c>
      <c r="D45" s="192">
        <v>1.9348981143333301E-2</v>
      </c>
      <c r="E45" s="192">
        <v>4.3749199548666601E-2</v>
      </c>
      <c r="F45" s="192">
        <v>0.175732013699999</v>
      </c>
      <c r="G45" s="192">
        <v>0.41746970368666603</v>
      </c>
      <c r="H45" s="192">
        <v>2.40826783179999E-2</v>
      </c>
      <c r="I45" s="192">
        <v>3.1246697425999899E-2</v>
      </c>
      <c r="J45" s="192">
        <v>0.62788785806666603</v>
      </c>
      <c r="K45" s="192">
        <v>0.42080788931333302</v>
      </c>
      <c r="L45" s="192">
        <v>0.25620124563333302</v>
      </c>
      <c r="M45" s="192">
        <v>4.14867486959999E-2</v>
      </c>
      <c r="N45" s="192">
        <v>0.12532888984000001</v>
      </c>
      <c r="O45" s="192">
        <v>0.26813350677333297</v>
      </c>
      <c r="P45" s="192">
        <v>0.35189968618</v>
      </c>
      <c r="Q45" s="192">
        <v>0.127667767833333</v>
      </c>
      <c r="R45" s="192">
        <v>5.3532719296000002E-2</v>
      </c>
      <c r="S45" s="192">
        <v>1.7909833510666599E-2</v>
      </c>
      <c r="T45" s="192">
        <v>5.2130469957333302E-2</v>
      </c>
      <c r="U45" s="192">
        <v>0.30936247379999998</v>
      </c>
      <c r="V45" s="192">
        <v>0.1425461432</v>
      </c>
      <c r="W45" s="192">
        <v>0.10024377950133299</v>
      </c>
      <c r="X45" s="192">
        <v>0.114862265273333</v>
      </c>
      <c r="Y45" s="192">
        <v>0.19569215265999901</v>
      </c>
      <c r="Z45" s="192">
        <v>5.2011142094666597E-2</v>
      </c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2"/>
      <c r="BH45" s="192"/>
      <c r="BI45" s="192"/>
      <c r="BJ45" s="192"/>
      <c r="BK45" s="192"/>
      <c r="BL45" s="192"/>
      <c r="BM45" s="192"/>
      <c r="BN45" s="192"/>
      <c r="BO45" s="192"/>
      <c r="BP45" s="192"/>
      <c r="BQ45" s="192"/>
      <c r="BR45" s="192"/>
      <c r="BS45" s="192"/>
      <c r="BT45" s="192"/>
      <c r="BU45" s="192"/>
      <c r="BV45" s="192"/>
      <c r="BW45" s="192"/>
      <c r="BX45" s="192"/>
    </row>
    <row r="46" spans="1:76">
      <c r="A46" s="192">
        <v>560</v>
      </c>
      <c r="B46" s="192">
        <v>0.636739369706666</v>
      </c>
      <c r="C46" s="192">
        <v>7.1117506662666599E-2</v>
      </c>
      <c r="D46" s="192">
        <v>2.2685380934666599E-2</v>
      </c>
      <c r="E46" s="192">
        <v>4.9431534130666602E-2</v>
      </c>
      <c r="F46" s="192">
        <v>0.166760974879999</v>
      </c>
      <c r="G46" s="192">
        <v>0.435830398553333</v>
      </c>
      <c r="H46" s="192">
        <v>2.3637397766666599E-2</v>
      </c>
      <c r="I46" s="192">
        <v>3.3198333104666598E-2</v>
      </c>
      <c r="J46" s="192">
        <v>0.62962815855999898</v>
      </c>
      <c r="K46" s="192">
        <v>0.42516594187333301</v>
      </c>
      <c r="L46" s="192">
        <v>0.25951117705333299</v>
      </c>
      <c r="M46" s="192">
        <v>4.7225418090666597E-2</v>
      </c>
      <c r="N46" s="192">
        <v>0.13742688687999999</v>
      </c>
      <c r="O46" s="192">
        <v>0.28434541065333302</v>
      </c>
      <c r="P46" s="192">
        <v>0.35321599324666603</v>
      </c>
      <c r="Q46" s="192">
        <v>0.13013239733333301</v>
      </c>
      <c r="R46" s="192">
        <v>5.4606865884666601E-2</v>
      </c>
      <c r="S46" s="192">
        <v>1.86949072686666E-2</v>
      </c>
      <c r="T46" s="192">
        <v>5.1751212436666597E-2</v>
      </c>
      <c r="U46" s="192">
        <v>0.29294248581333299</v>
      </c>
      <c r="V46" s="192">
        <v>0.144858437859999</v>
      </c>
      <c r="W46" s="192">
        <v>0.100985242843999</v>
      </c>
      <c r="X46" s="192">
        <v>0.11319812964666599</v>
      </c>
      <c r="Y46" s="192">
        <v>0.20622086079999899</v>
      </c>
      <c r="Z46" s="192">
        <v>5.52078660326666E-2</v>
      </c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192"/>
      <c r="BQ46" s="192"/>
      <c r="BR46" s="192"/>
      <c r="BS46" s="192"/>
      <c r="BT46" s="192"/>
      <c r="BU46" s="192"/>
      <c r="BV46" s="192"/>
      <c r="BW46" s="192"/>
      <c r="BX46" s="192"/>
    </row>
    <row r="47" spans="1:76">
      <c r="A47" s="192">
        <v>565</v>
      </c>
      <c r="B47" s="192">
        <v>0.63719895426666595</v>
      </c>
      <c r="C47" s="192">
        <v>6.0358299572666599E-2</v>
      </c>
      <c r="D47" s="192">
        <v>2.7196834086666601E-2</v>
      </c>
      <c r="E47" s="192">
        <v>5.7009836832666597E-2</v>
      </c>
      <c r="F47" s="192">
        <v>0.15688609378000001</v>
      </c>
      <c r="G47" s="192">
        <v>0.454778256713333</v>
      </c>
      <c r="H47" s="192">
        <v>2.2848107019333298E-2</v>
      </c>
      <c r="I47" s="192">
        <v>3.5438549520000001E-2</v>
      </c>
      <c r="J47" s="192">
        <v>0.63054181924666597</v>
      </c>
      <c r="K47" s="192">
        <v>0.43006584168666601</v>
      </c>
      <c r="L47" s="192">
        <v>0.26357957712000002</v>
      </c>
      <c r="M47" s="192">
        <v>5.4902987479999998E-2</v>
      </c>
      <c r="N47" s="192">
        <v>0.15253594652666599</v>
      </c>
      <c r="O47" s="192">
        <v>0.30384423192666599</v>
      </c>
      <c r="P47" s="192">
        <v>0.353645042426666</v>
      </c>
      <c r="Q47" s="192">
        <v>0.1331300195</v>
      </c>
      <c r="R47" s="192">
        <v>5.6259368896E-2</v>
      </c>
      <c r="S47" s="192">
        <v>1.9010362704E-2</v>
      </c>
      <c r="T47" s="192">
        <v>5.1311066310666599E-2</v>
      </c>
      <c r="U47" s="192">
        <v>0.27491769282</v>
      </c>
      <c r="V47" s="192">
        <v>0.148299740486666</v>
      </c>
      <c r="W47" s="192">
        <v>0.10194844055333301</v>
      </c>
      <c r="X47" s="192">
        <v>0.11157776196666599</v>
      </c>
      <c r="Y47" s="192">
        <v>0.219460391986666</v>
      </c>
      <c r="Z47" s="192">
        <v>5.9623512268000001E-2</v>
      </c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2"/>
      <c r="BH47" s="192"/>
      <c r="BI47" s="192"/>
      <c r="BJ47" s="192"/>
      <c r="BK47" s="192"/>
      <c r="BL47" s="192"/>
      <c r="BM47" s="192"/>
      <c r="BN47" s="192"/>
      <c r="BO47" s="192"/>
      <c r="BP47" s="192"/>
      <c r="BQ47" s="192"/>
      <c r="BR47" s="192"/>
      <c r="BS47" s="192"/>
      <c r="BT47" s="192"/>
      <c r="BU47" s="192"/>
      <c r="BV47" s="192"/>
      <c r="BW47" s="192"/>
      <c r="BX47" s="192"/>
    </row>
    <row r="48" spans="1:76">
      <c r="A48" s="192">
        <v>570</v>
      </c>
      <c r="B48" s="192">
        <v>0.63592142232666604</v>
      </c>
      <c r="C48" s="192">
        <v>5.0401310920666603E-2</v>
      </c>
      <c r="D48" s="192">
        <v>3.3868885358666598E-2</v>
      </c>
      <c r="E48" s="192">
        <v>6.7826505661333303E-2</v>
      </c>
      <c r="F48" s="192">
        <v>0.14680626359999899</v>
      </c>
      <c r="G48" s="192">
        <v>0.47356931813999897</v>
      </c>
      <c r="H48" s="192">
        <v>2.26271704026666E-2</v>
      </c>
      <c r="I48" s="192">
        <v>3.9020858287999997E-2</v>
      </c>
      <c r="J48" s="192">
        <v>0.62952790323333296</v>
      </c>
      <c r="K48" s="192">
        <v>0.43502728272000002</v>
      </c>
      <c r="L48" s="192">
        <v>0.26869202551333299</v>
      </c>
      <c r="M48" s="192">
        <v>6.5680445670666596E-2</v>
      </c>
      <c r="N48" s="192">
        <v>0.17221078109999899</v>
      </c>
      <c r="O48" s="192">
        <v>0.32593322118666601</v>
      </c>
      <c r="P48" s="192">
        <v>0.35266479492666603</v>
      </c>
      <c r="Q48" s="192">
        <v>0.13734308051999899</v>
      </c>
      <c r="R48" s="192">
        <v>5.8546505610666599E-2</v>
      </c>
      <c r="S48" s="192">
        <v>2.0215969005999899E-2</v>
      </c>
      <c r="T48" s="192">
        <v>5.1559628486666599E-2</v>
      </c>
      <c r="U48" s="192">
        <v>0.25582010142</v>
      </c>
      <c r="V48" s="192">
        <v>0.152437342966666</v>
      </c>
      <c r="W48" s="192">
        <v>0.103241899486666</v>
      </c>
      <c r="X48" s="192">
        <v>0.110400201799999</v>
      </c>
      <c r="Y48" s="192">
        <v>0.23536704891333299</v>
      </c>
      <c r="Z48" s="192">
        <v>6.5275243123333299E-2</v>
      </c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192"/>
      <c r="BX48" s="192"/>
    </row>
    <row r="49" spans="1:76">
      <c r="A49" s="192">
        <v>575</v>
      </c>
      <c r="B49" s="192">
        <v>0.63501386260666604</v>
      </c>
      <c r="C49" s="192">
        <v>4.1357681431999901E-2</v>
      </c>
      <c r="D49" s="192">
        <v>4.3243330637999997E-2</v>
      </c>
      <c r="E49" s="192">
        <v>8.17746181486666E-2</v>
      </c>
      <c r="F49" s="192">
        <v>0.13608826764000001</v>
      </c>
      <c r="G49" s="192">
        <v>0.49350526428666602</v>
      </c>
      <c r="H49" s="192">
        <v>2.2090475082666601E-2</v>
      </c>
      <c r="I49" s="192">
        <v>4.31233634953333E-2</v>
      </c>
      <c r="J49" s="192">
        <v>0.62934102629999999</v>
      </c>
      <c r="K49" s="192">
        <v>0.44045088959333301</v>
      </c>
      <c r="L49" s="192">
        <v>0.27435144806</v>
      </c>
      <c r="M49" s="192">
        <v>7.9857177417333294E-2</v>
      </c>
      <c r="N49" s="192">
        <v>0.19597162500666601</v>
      </c>
      <c r="O49" s="192">
        <v>0.35099996947999901</v>
      </c>
      <c r="P49" s="192">
        <v>0.35095987701999998</v>
      </c>
      <c r="Q49" s="192">
        <v>0.141923036579999</v>
      </c>
      <c r="R49" s="192">
        <v>6.0926857311999899E-2</v>
      </c>
      <c r="S49" s="192">
        <v>2.10934125573333E-2</v>
      </c>
      <c r="T49" s="192">
        <v>5.1974415779333302E-2</v>
      </c>
      <c r="U49" s="192">
        <v>0.23634591294000001</v>
      </c>
      <c r="V49" s="192">
        <v>0.15765922863999901</v>
      </c>
      <c r="W49" s="192">
        <v>0.10468803913999999</v>
      </c>
      <c r="X49" s="192">
        <v>0.108912876759999</v>
      </c>
      <c r="Y49" s="192">
        <v>0.25434670511999902</v>
      </c>
      <c r="Z49" s="192">
        <v>7.1929566384666604E-2</v>
      </c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</row>
    <row r="50" spans="1:76">
      <c r="A50" s="192">
        <v>580</v>
      </c>
      <c r="B50" s="192">
        <v>0.63447957101333297</v>
      </c>
      <c r="C50" s="192">
        <v>3.3158266226000002E-2</v>
      </c>
      <c r="D50" s="192">
        <v>5.5998965263333297E-2</v>
      </c>
      <c r="E50" s="192">
        <v>0.100437815982666</v>
      </c>
      <c r="F50" s="192">
        <v>0.12468795267333301</v>
      </c>
      <c r="G50" s="192">
        <v>0.51425469969999904</v>
      </c>
      <c r="H50" s="192">
        <v>2.1385790665333301E-2</v>
      </c>
      <c r="I50" s="192">
        <v>4.7792541504666601E-2</v>
      </c>
      <c r="J50" s="192">
        <v>0.629131810506666</v>
      </c>
      <c r="K50" s="192">
        <v>0.44572341665333298</v>
      </c>
      <c r="L50" s="192">
        <v>0.27980963006666598</v>
      </c>
      <c r="M50" s="192">
        <v>9.8653632478666597E-2</v>
      </c>
      <c r="N50" s="192">
        <v>0.225000747686666</v>
      </c>
      <c r="O50" s="192">
        <v>0.378988744079999</v>
      </c>
      <c r="P50" s="192">
        <v>0.34785424803999998</v>
      </c>
      <c r="Q50" s="192">
        <v>0.14662410545333299</v>
      </c>
      <c r="R50" s="192">
        <v>6.3349772454666595E-2</v>
      </c>
      <c r="S50" s="192">
        <v>2.2042046229333302E-2</v>
      </c>
      <c r="T50" s="192">
        <v>5.17350470233333E-2</v>
      </c>
      <c r="U50" s="192">
        <v>0.21641223780666599</v>
      </c>
      <c r="V50" s="192">
        <v>0.162867013926666</v>
      </c>
      <c r="W50" s="192">
        <v>0.10572669411333301</v>
      </c>
      <c r="X50" s="192">
        <v>0.107010831826666</v>
      </c>
      <c r="Y50" s="192">
        <v>0.27640141168666599</v>
      </c>
      <c r="Z50" s="192">
        <v>7.9752566337333297E-2</v>
      </c>
      <c r="AA50" s="192"/>
      <c r="AB50" s="192"/>
      <c r="AC50" s="192"/>
      <c r="AD50" s="192"/>
      <c r="AE50" s="192"/>
      <c r="AF50" s="192"/>
      <c r="AG50" s="192"/>
      <c r="AH50" s="192"/>
      <c r="AI50" s="192"/>
      <c r="AJ50" s="192"/>
      <c r="AK50" s="192"/>
      <c r="AL50" s="192"/>
      <c r="AM50" s="192"/>
      <c r="AN50" s="192"/>
      <c r="AO50" s="192"/>
      <c r="AP50" s="192"/>
      <c r="AQ50" s="192"/>
      <c r="AR50" s="192"/>
      <c r="AS50" s="192"/>
      <c r="AT50" s="192"/>
      <c r="AU50" s="192"/>
      <c r="AV50" s="192"/>
      <c r="AW50" s="192"/>
      <c r="AX50" s="192"/>
      <c r="AY50" s="192"/>
      <c r="AZ50" s="192"/>
      <c r="BA50" s="192"/>
      <c r="BB50" s="192"/>
      <c r="BC50" s="192"/>
      <c r="BD50" s="192"/>
      <c r="BE50" s="192"/>
      <c r="BF50" s="192"/>
      <c r="BG50" s="192"/>
      <c r="BH50" s="192"/>
      <c r="BI50" s="192"/>
      <c r="BJ50" s="192"/>
      <c r="BK50" s="192"/>
      <c r="BL50" s="192"/>
      <c r="BM50" s="192"/>
      <c r="BN50" s="192"/>
      <c r="BO50" s="192"/>
      <c r="BP50" s="192"/>
      <c r="BQ50" s="192"/>
      <c r="BR50" s="192"/>
      <c r="BS50" s="192"/>
      <c r="BT50" s="192"/>
      <c r="BU50" s="192"/>
      <c r="BV50" s="192"/>
      <c r="BW50" s="192"/>
      <c r="BX50" s="192"/>
    </row>
    <row r="51" spans="1:76">
      <c r="A51" s="192">
        <v>585</v>
      </c>
      <c r="B51" s="192">
        <v>0.63646278888666596</v>
      </c>
      <c r="C51" s="192">
        <v>2.66846917466666E-2</v>
      </c>
      <c r="D51" s="192">
        <v>7.4314778646000001E-2</v>
      </c>
      <c r="E51" s="192">
        <v>0.125567629493333</v>
      </c>
      <c r="F51" s="192">
        <v>0.113640812553333</v>
      </c>
      <c r="G51" s="192">
        <v>0.53772599284</v>
      </c>
      <c r="H51" s="192">
        <v>2.1219323159333298E-2</v>
      </c>
      <c r="I51" s="192">
        <v>5.33059005739999E-2</v>
      </c>
      <c r="J51" s="192">
        <v>0.63187742106</v>
      </c>
      <c r="K51" s="192">
        <v>0.45226967874666602</v>
      </c>
      <c r="L51" s="192">
        <v>0.28560736211999999</v>
      </c>
      <c r="M51" s="192">
        <v>0.123774218246666</v>
      </c>
      <c r="N51" s="192">
        <v>0.26061139933999899</v>
      </c>
      <c r="O51" s="192">
        <v>0.41195001474666598</v>
      </c>
      <c r="P51" s="192">
        <v>0.34488202668666601</v>
      </c>
      <c r="Q51" s="192">
        <v>0.15147806486000001</v>
      </c>
      <c r="R51" s="192">
        <v>6.6041972160000004E-2</v>
      </c>
      <c r="S51" s="192">
        <v>2.3691617964666602E-2</v>
      </c>
      <c r="T51" s="192">
        <v>5.1822734197333298E-2</v>
      </c>
      <c r="U51" s="192">
        <v>0.19737793351333299</v>
      </c>
      <c r="V51" s="192">
        <v>0.16862423705333299</v>
      </c>
      <c r="W51" s="192">
        <v>0.10700964674666601</v>
      </c>
      <c r="X51" s="192">
        <v>0.105187782293333</v>
      </c>
      <c r="Y51" s="192">
        <v>0.301856324513333</v>
      </c>
      <c r="Z51" s="192">
        <v>8.9072985331333301E-2</v>
      </c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2"/>
      <c r="BH51" s="192"/>
      <c r="BI51" s="192"/>
      <c r="BJ51" s="192"/>
      <c r="BK51" s="192"/>
      <c r="BL51" s="192"/>
      <c r="BM51" s="192"/>
      <c r="BN51" s="192"/>
      <c r="BO51" s="192"/>
      <c r="BP51" s="192"/>
      <c r="BQ51" s="192"/>
      <c r="BR51" s="192"/>
      <c r="BS51" s="192"/>
      <c r="BT51" s="192"/>
      <c r="BU51" s="192"/>
      <c r="BV51" s="192"/>
      <c r="BW51" s="192"/>
      <c r="BX51" s="192"/>
    </row>
    <row r="52" spans="1:76">
      <c r="A52" s="192">
        <v>590</v>
      </c>
      <c r="B52" s="192">
        <v>0.64175509897333305</v>
      </c>
      <c r="C52" s="192">
        <v>2.0844461121999901E-2</v>
      </c>
      <c r="D52" s="192">
        <v>9.8426511772666606E-2</v>
      </c>
      <c r="E52" s="192">
        <v>0.156173371626666</v>
      </c>
      <c r="F52" s="192">
        <v>0.102712888079333</v>
      </c>
      <c r="G52" s="192">
        <v>0.56368807475333305</v>
      </c>
      <c r="H52" s="192">
        <v>2.04095904026666E-2</v>
      </c>
      <c r="I52" s="192">
        <v>5.9114802677999997E-2</v>
      </c>
      <c r="J52" s="192">
        <v>0.63728457642000003</v>
      </c>
      <c r="K52" s="192">
        <v>0.46009311929333302</v>
      </c>
      <c r="L52" s="192">
        <v>0.29138461177333302</v>
      </c>
      <c r="M52" s="192">
        <v>0.15560471343999999</v>
      </c>
      <c r="N52" s="192">
        <v>0.30214785131333299</v>
      </c>
      <c r="O52" s="192">
        <v>0.447395431526666</v>
      </c>
      <c r="P52" s="192">
        <v>0.34172519175333299</v>
      </c>
      <c r="Q52" s="192">
        <v>0.15589616521333299</v>
      </c>
      <c r="R52" s="192">
        <v>6.8514946620666595E-2</v>
      </c>
      <c r="S52" s="192">
        <v>2.4390631197999901E-2</v>
      </c>
      <c r="T52" s="192">
        <v>5.1454064049999901E-2</v>
      </c>
      <c r="U52" s="192">
        <v>0.17931890742000001</v>
      </c>
      <c r="V52" s="192">
        <v>0.173873058319999</v>
      </c>
      <c r="W52" s="192">
        <v>0.107406749086666</v>
      </c>
      <c r="X52" s="192">
        <v>0.10277861658</v>
      </c>
      <c r="Y52" s="192">
        <v>0.329232170099999</v>
      </c>
      <c r="Z52" s="192">
        <v>9.8952558519333295E-2</v>
      </c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  <c r="AM52" s="192"/>
      <c r="AN52" s="192"/>
      <c r="AO52" s="192"/>
      <c r="AP52" s="192"/>
      <c r="AQ52" s="192"/>
      <c r="AR52" s="192"/>
      <c r="AS52" s="192"/>
      <c r="AT52" s="192"/>
      <c r="AU52" s="192"/>
      <c r="AV52" s="192"/>
      <c r="AW52" s="192"/>
      <c r="AX52" s="192"/>
      <c r="AY52" s="192"/>
      <c r="AZ52" s="192"/>
      <c r="BA52" s="192"/>
      <c r="BB52" s="192"/>
      <c r="BC52" s="192"/>
      <c r="BD52" s="192"/>
      <c r="BE52" s="192"/>
      <c r="BF52" s="192"/>
      <c r="BG52" s="192"/>
      <c r="BH52" s="192"/>
      <c r="BI52" s="192"/>
      <c r="BJ52" s="192"/>
      <c r="BK52" s="192"/>
      <c r="BL52" s="192"/>
      <c r="BM52" s="192"/>
      <c r="BN52" s="192"/>
      <c r="BO52" s="192"/>
      <c r="BP52" s="192"/>
      <c r="BQ52" s="192"/>
      <c r="BR52" s="192"/>
      <c r="BS52" s="192"/>
      <c r="BT52" s="192"/>
      <c r="BU52" s="192"/>
      <c r="BV52" s="192"/>
      <c r="BW52" s="192"/>
      <c r="BX52" s="192"/>
    </row>
    <row r="53" spans="1:76">
      <c r="A53" s="192">
        <v>595</v>
      </c>
      <c r="B53" s="192">
        <v>0.64773892211999995</v>
      </c>
      <c r="C53" s="192">
        <v>1.6457672358666599E-2</v>
      </c>
      <c r="D53" s="192">
        <v>0.128941995613333</v>
      </c>
      <c r="E53" s="192">
        <v>0.19255125428</v>
      </c>
      <c r="F53" s="192">
        <v>9.1904137295333296E-2</v>
      </c>
      <c r="G53" s="192">
        <v>0.58930640157333303</v>
      </c>
      <c r="H53" s="192">
        <v>1.9358128547333299E-2</v>
      </c>
      <c r="I53" s="192">
        <v>6.4348671277333305E-2</v>
      </c>
      <c r="J53" s="192">
        <v>0.64379690551333302</v>
      </c>
      <c r="K53" s="192">
        <v>0.46648940784666598</v>
      </c>
      <c r="L53" s="192">
        <v>0.29520263164666599</v>
      </c>
      <c r="M53" s="192">
        <v>0.19276641846666601</v>
      </c>
      <c r="N53" s="192">
        <v>0.346583557126666</v>
      </c>
      <c r="O53" s="192">
        <v>0.48380821228666598</v>
      </c>
      <c r="P53" s="192">
        <v>0.33610394033333302</v>
      </c>
      <c r="Q53" s="192">
        <v>0.15864858692</v>
      </c>
      <c r="R53" s="192">
        <v>6.9912096341333302E-2</v>
      </c>
      <c r="S53" s="192">
        <v>2.5316092807999901E-2</v>
      </c>
      <c r="T53" s="192">
        <v>5.0433770497999998E-2</v>
      </c>
      <c r="U53" s="192">
        <v>0.16167188708666599</v>
      </c>
      <c r="V53" s="192">
        <v>0.177344136559999</v>
      </c>
      <c r="W53" s="192">
        <v>0.10627636084</v>
      </c>
      <c r="X53" s="192">
        <v>9.8707921980000002E-2</v>
      </c>
      <c r="Y53" s="192">
        <v>0.35696319070666599</v>
      </c>
      <c r="Z53" s="192">
        <v>0.107934183753333</v>
      </c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192"/>
      <c r="BV53" s="192"/>
      <c r="BW53" s="192"/>
      <c r="BX53" s="192"/>
    </row>
    <row r="54" spans="1:76">
      <c r="A54" s="192">
        <v>600</v>
      </c>
      <c r="B54" s="192">
        <v>0.65266474914666595</v>
      </c>
      <c r="C54" s="192">
        <v>1.22953654933333E-2</v>
      </c>
      <c r="D54" s="192">
        <v>0.16351513798</v>
      </c>
      <c r="E54" s="192">
        <v>0.23159143065999999</v>
      </c>
      <c r="F54" s="192">
        <v>8.0846582093999905E-2</v>
      </c>
      <c r="G54" s="192">
        <v>0.61182138062000002</v>
      </c>
      <c r="H54" s="192">
        <v>1.76252255433333E-2</v>
      </c>
      <c r="I54" s="192">
        <v>6.8392166137333302E-2</v>
      </c>
      <c r="J54" s="192">
        <v>0.64874767556666602</v>
      </c>
      <c r="K54" s="192">
        <v>0.46991738637333302</v>
      </c>
      <c r="L54" s="192">
        <v>0.29535376867333302</v>
      </c>
      <c r="M54" s="192">
        <v>0.232874726613333</v>
      </c>
      <c r="N54" s="192">
        <v>0.39118725586666597</v>
      </c>
      <c r="O54" s="192">
        <v>0.516883374539999</v>
      </c>
      <c r="P54" s="192">
        <v>0.32832315826666603</v>
      </c>
      <c r="Q54" s="192">
        <v>0.15841183026</v>
      </c>
      <c r="R54" s="192">
        <v>6.94535503393333E-2</v>
      </c>
      <c r="S54" s="192">
        <v>2.4746978440000001E-2</v>
      </c>
      <c r="T54" s="192">
        <v>4.7947295822666602E-2</v>
      </c>
      <c r="U54" s="192">
        <v>0.14436221059333301</v>
      </c>
      <c r="V54" s="192">
        <v>0.1779132665</v>
      </c>
      <c r="W54" s="192">
        <v>0.102972601566666</v>
      </c>
      <c r="X54" s="192">
        <v>9.3125638962666596E-2</v>
      </c>
      <c r="Y54" s="192">
        <v>0.38099401347999901</v>
      </c>
      <c r="Z54" s="192">
        <v>0.114703252793333</v>
      </c>
      <c r="AA54" s="192"/>
      <c r="AB54" s="192"/>
      <c r="AC54" s="192"/>
      <c r="AD54" s="192"/>
      <c r="AE54" s="192"/>
      <c r="AF54" s="192"/>
      <c r="AG54" s="192"/>
      <c r="AH54" s="192"/>
      <c r="AI54" s="192"/>
      <c r="AJ54" s="192"/>
      <c r="AK54" s="192"/>
      <c r="AL54" s="192"/>
      <c r="AM54" s="192"/>
      <c r="AN54" s="192"/>
      <c r="AO54" s="192"/>
      <c r="AP54" s="192"/>
      <c r="AQ54" s="192"/>
      <c r="AR54" s="192"/>
      <c r="AS54" s="192"/>
      <c r="AT54" s="192"/>
      <c r="AU54" s="192"/>
      <c r="AV54" s="192"/>
      <c r="AW54" s="192"/>
      <c r="AX54" s="192"/>
      <c r="AY54" s="192"/>
      <c r="AZ54" s="192"/>
      <c r="BA54" s="192"/>
      <c r="BB54" s="192"/>
      <c r="BC54" s="192"/>
      <c r="BD54" s="192"/>
      <c r="BE54" s="192"/>
      <c r="BF54" s="192"/>
      <c r="BG54" s="192"/>
      <c r="BH54" s="192"/>
      <c r="BI54" s="192"/>
      <c r="BJ54" s="192"/>
      <c r="BK54" s="192"/>
      <c r="BL54" s="192"/>
      <c r="BM54" s="192"/>
      <c r="BN54" s="192"/>
      <c r="BO54" s="192"/>
      <c r="BP54" s="192"/>
      <c r="BQ54" s="192"/>
      <c r="BR54" s="192"/>
      <c r="BS54" s="192"/>
      <c r="BT54" s="192"/>
      <c r="BU54" s="192"/>
      <c r="BV54" s="192"/>
      <c r="BW54" s="192"/>
      <c r="BX54" s="192"/>
    </row>
    <row r="55" spans="1:76">
      <c r="A55" s="192">
        <v>605</v>
      </c>
      <c r="B55" s="192">
        <v>0.65342301942000003</v>
      </c>
      <c r="C55" s="192">
        <v>9.9982479411333293E-3</v>
      </c>
      <c r="D55" s="192">
        <v>0.20014967217999899</v>
      </c>
      <c r="E55" s="192">
        <v>0.27039226532666599</v>
      </c>
      <c r="F55" s="192">
        <v>7.1045432727333296E-2</v>
      </c>
      <c r="G55" s="192">
        <v>0.62864494323999898</v>
      </c>
      <c r="H55" s="192">
        <v>1.6509059111999898E-2</v>
      </c>
      <c r="I55" s="192">
        <v>7.0774175960666597E-2</v>
      </c>
      <c r="J55" s="192">
        <v>0.65006152852666599</v>
      </c>
      <c r="K55" s="192">
        <v>0.469072189333333</v>
      </c>
      <c r="L55" s="192">
        <v>0.29218707784666598</v>
      </c>
      <c r="M55" s="192">
        <v>0.273060493459999</v>
      </c>
      <c r="N55" s="192">
        <v>0.43209110006666601</v>
      </c>
      <c r="O55" s="192">
        <v>0.54430446624666595</v>
      </c>
      <c r="P55" s="192">
        <v>0.317379606893333</v>
      </c>
      <c r="Q55" s="192">
        <v>0.15585769398666599</v>
      </c>
      <c r="R55" s="192">
        <v>6.7779717126666597E-2</v>
      </c>
      <c r="S55" s="192">
        <v>2.43579848606666E-2</v>
      </c>
      <c r="T55" s="192">
        <v>4.5408156712666597E-2</v>
      </c>
      <c r="U55" s="192">
        <v>0.12852535883333299</v>
      </c>
      <c r="V55" s="192">
        <v>0.17566105143333299</v>
      </c>
      <c r="W55" s="192">
        <v>9.8512130108666607E-2</v>
      </c>
      <c r="X55" s="192">
        <v>8.7119730631333298E-2</v>
      </c>
      <c r="Y55" s="192">
        <v>0.40017933654666599</v>
      </c>
      <c r="Z55" s="192">
        <v>0.119738198599999</v>
      </c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2"/>
      <c r="BH55" s="192"/>
      <c r="BI55" s="192"/>
      <c r="BJ55" s="192"/>
      <c r="BK55" s="192"/>
      <c r="BL55" s="192"/>
      <c r="BM55" s="192"/>
      <c r="BN55" s="192"/>
      <c r="BO55" s="192"/>
      <c r="BP55" s="192"/>
      <c r="BQ55" s="192"/>
      <c r="BR55" s="192"/>
      <c r="BS55" s="192"/>
      <c r="BT55" s="192"/>
      <c r="BU55" s="192"/>
      <c r="BV55" s="192"/>
      <c r="BW55" s="192"/>
      <c r="BX55" s="192"/>
    </row>
    <row r="56" spans="1:76">
      <c r="A56" s="192">
        <v>610</v>
      </c>
      <c r="B56" s="192">
        <v>0.64823866779999995</v>
      </c>
      <c r="C56" s="192">
        <v>7.4627130031333297E-3</v>
      </c>
      <c r="D56" s="192">
        <v>0.23459286880666599</v>
      </c>
      <c r="E56" s="192">
        <v>0.30432692590666599</v>
      </c>
      <c r="F56" s="192">
        <v>6.1286552746666598E-2</v>
      </c>
      <c r="G56" s="192">
        <v>0.63774581145333298</v>
      </c>
      <c r="H56" s="192">
        <v>1.4427424431999901E-2</v>
      </c>
      <c r="I56" s="192">
        <v>7.0488671303333306E-2</v>
      </c>
      <c r="J56" s="192">
        <v>0.64524959310666596</v>
      </c>
      <c r="K56" s="192">
        <v>0.462046005246666</v>
      </c>
      <c r="L56" s="192">
        <v>0.28401775996</v>
      </c>
      <c r="M56" s="192">
        <v>0.309028160093333</v>
      </c>
      <c r="N56" s="192">
        <v>0.465203730266666</v>
      </c>
      <c r="O56" s="192">
        <v>0.56335360211333296</v>
      </c>
      <c r="P56" s="192">
        <v>0.30252263640666599</v>
      </c>
      <c r="Q56" s="192">
        <v>0.14978014944666601</v>
      </c>
      <c r="R56" s="192">
        <v>6.40697390239999E-2</v>
      </c>
      <c r="S56" s="192">
        <v>2.2672172387333302E-2</v>
      </c>
      <c r="T56" s="192">
        <v>4.1273797830666599E-2</v>
      </c>
      <c r="U56" s="192">
        <v>0.11343336358</v>
      </c>
      <c r="V56" s="192">
        <v>0.16976571528000001</v>
      </c>
      <c r="W56" s="192">
        <v>9.1970631281333301E-2</v>
      </c>
      <c r="X56" s="192">
        <v>7.9402517637333303E-2</v>
      </c>
      <c r="Y56" s="192">
        <v>0.41192202505999997</v>
      </c>
      <c r="Z56" s="192">
        <v>0.120739656453333</v>
      </c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2"/>
      <c r="BA56" s="192"/>
      <c r="BB56" s="192"/>
      <c r="BC56" s="192"/>
      <c r="BD56" s="192"/>
      <c r="BE56" s="192"/>
      <c r="BF56" s="192"/>
      <c r="BG56" s="192"/>
      <c r="BH56" s="192"/>
      <c r="BI56" s="192"/>
      <c r="BJ56" s="192"/>
      <c r="BK56" s="192"/>
      <c r="BL56" s="192"/>
      <c r="BM56" s="192"/>
      <c r="BN56" s="192"/>
      <c r="BO56" s="192"/>
      <c r="BP56" s="192"/>
      <c r="BQ56" s="192"/>
      <c r="BR56" s="192"/>
      <c r="BS56" s="192"/>
      <c r="BT56" s="192"/>
      <c r="BU56" s="192"/>
      <c r="BV56" s="192"/>
      <c r="BW56" s="192"/>
      <c r="BX56" s="192"/>
    </row>
    <row r="57" spans="1:76">
      <c r="A57" s="192">
        <v>615</v>
      </c>
      <c r="B57" s="192">
        <v>0.63935016631333297</v>
      </c>
      <c r="C57" s="192">
        <v>5.6665813525333302E-3</v>
      </c>
      <c r="D57" s="192">
        <v>0.26546371967333299</v>
      </c>
      <c r="E57" s="192">
        <v>0.33324262237333302</v>
      </c>
      <c r="F57" s="192">
        <v>5.2738794644666603E-2</v>
      </c>
      <c r="G57" s="192">
        <v>0.64106136830666605</v>
      </c>
      <c r="H57" s="192">
        <v>1.2455900987333301E-2</v>
      </c>
      <c r="I57" s="192">
        <v>6.8728372575333305E-2</v>
      </c>
      <c r="J57" s="192">
        <v>0.63632748158666597</v>
      </c>
      <c r="K57" s="192">
        <v>0.45130811310000002</v>
      </c>
      <c r="L57" s="192">
        <v>0.27306329982666599</v>
      </c>
      <c r="M57" s="192">
        <v>0.33961203765333298</v>
      </c>
      <c r="N57" s="192">
        <v>0.49139578246666599</v>
      </c>
      <c r="O57" s="192">
        <v>0.57575916546000006</v>
      </c>
      <c r="P57" s="192">
        <v>0.28645291646666599</v>
      </c>
      <c r="Q57" s="192">
        <v>0.142225322086666</v>
      </c>
      <c r="R57" s="192">
        <v>5.9789726574000002E-2</v>
      </c>
      <c r="S57" s="192">
        <v>2.0590231737333299E-2</v>
      </c>
      <c r="T57" s="192">
        <v>3.6972097077999901E-2</v>
      </c>
      <c r="U57" s="192">
        <v>9.9290291471333295E-2</v>
      </c>
      <c r="V57" s="192">
        <v>0.16201358668666599</v>
      </c>
      <c r="W57" s="192">
        <v>8.4529307684666599E-2</v>
      </c>
      <c r="X57" s="192">
        <v>7.1655837057999897E-2</v>
      </c>
      <c r="Y57" s="192">
        <v>0.41787833149999898</v>
      </c>
      <c r="Z57" s="192">
        <v>0.11896791458</v>
      </c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2"/>
      <c r="BH57" s="192"/>
      <c r="BI57" s="192"/>
      <c r="BJ57" s="192"/>
      <c r="BK57" s="192"/>
      <c r="BL57" s="192"/>
      <c r="BM57" s="192"/>
      <c r="BN57" s="192"/>
      <c r="BO57" s="192"/>
      <c r="BP57" s="192"/>
      <c r="BQ57" s="192"/>
      <c r="BR57" s="192"/>
      <c r="BS57" s="192"/>
      <c r="BT57" s="192"/>
      <c r="BU57" s="192"/>
      <c r="BV57" s="192"/>
      <c r="BW57" s="192"/>
      <c r="BX57" s="192"/>
    </row>
    <row r="58" spans="1:76">
      <c r="A58" s="192">
        <v>620</v>
      </c>
      <c r="B58" s="192">
        <v>0.62794167073999896</v>
      </c>
      <c r="C58" s="192">
        <v>4.5226156910000001E-3</v>
      </c>
      <c r="D58" s="192">
        <v>0.29220647684666601</v>
      </c>
      <c r="E58" s="192">
        <v>0.35646603648000003</v>
      </c>
      <c r="F58" s="192">
        <v>4.5557886759333303E-2</v>
      </c>
      <c r="G58" s="192">
        <v>0.64046399941999999</v>
      </c>
      <c r="H58" s="192">
        <v>1.1008110285933299E-2</v>
      </c>
      <c r="I58" s="192">
        <v>6.6382340748666599E-2</v>
      </c>
      <c r="J58" s="192">
        <v>0.62535458120666598</v>
      </c>
      <c r="K58" s="192">
        <v>0.438732823686666</v>
      </c>
      <c r="L58" s="192">
        <v>0.26116219456666601</v>
      </c>
      <c r="M58" s="192">
        <v>0.36468925219999998</v>
      </c>
      <c r="N58" s="192">
        <v>0.51103569030666596</v>
      </c>
      <c r="O58" s="192">
        <v>0.58280434926000002</v>
      </c>
      <c r="P58" s="192">
        <v>0.27051875051333302</v>
      </c>
      <c r="Q58" s="192">
        <v>0.13395860226</v>
      </c>
      <c r="R58" s="192">
        <v>5.52392597193333E-2</v>
      </c>
      <c r="S58" s="192">
        <v>1.94836317693333E-2</v>
      </c>
      <c r="T58" s="192">
        <v>3.34763456973333E-2</v>
      </c>
      <c r="U58" s="192">
        <v>8.74707781453333E-2</v>
      </c>
      <c r="V58" s="192">
        <v>0.15297429529333301</v>
      </c>
      <c r="W58" s="192">
        <v>7.7839264869999897E-2</v>
      </c>
      <c r="X58" s="192">
        <v>6.4831097920666603E-2</v>
      </c>
      <c r="Y58" s="192">
        <v>0.419038942973333</v>
      </c>
      <c r="Z58" s="192">
        <v>0.11584263038000001</v>
      </c>
      <c r="AA58" s="192"/>
      <c r="AB58" s="192"/>
      <c r="AC58" s="192"/>
      <c r="AD58" s="192"/>
      <c r="AE58" s="192"/>
      <c r="AF58" s="192"/>
      <c r="AG58" s="192"/>
      <c r="AH58" s="192"/>
      <c r="AI58" s="192"/>
      <c r="AJ58" s="192"/>
      <c r="AK58" s="192"/>
      <c r="AL58" s="192"/>
      <c r="AM58" s="192"/>
      <c r="AN58" s="192"/>
      <c r="AO58" s="192"/>
      <c r="AP58" s="192"/>
      <c r="AQ58" s="192"/>
      <c r="AR58" s="192"/>
      <c r="AS58" s="192"/>
      <c r="AT58" s="192"/>
      <c r="AU58" s="192"/>
      <c r="AV58" s="192"/>
      <c r="AW58" s="192"/>
      <c r="AX58" s="192"/>
      <c r="AY58" s="192"/>
      <c r="AZ58" s="192"/>
      <c r="BA58" s="192"/>
      <c r="BB58" s="192"/>
      <c r="BC58" s="192"/>
      <c r="BD58" s="192"/>
      <c r="BE58" s="192"/>
      <c r="BF58" s="192"/>
      <c r="BG58" s="192"/>
      <c r="BH58" s="192"/>
      <c r="BI58" s="192"/>
      <c r="BJ58" s="192"/>
      <c r="BK58" s="192"/>
      <c r="BL58" s="192"/>
      <c r="BM58" s="192"/>
      <c r="BN58" s="192"/>
      <c r="BO58" s="192"/>
      <c r="BP58" s="192"/>
      <c r="BQ58" s="192"/>
      <c r="BR58" s="192"/>
      <c r="BS58" s="192"/>
      <c r="BT58" s="192"/>
      <c r="BU58" s="192"/>
      <c r="BV58" s="192"/>
      <c r="BW58" s="192"/>
      <c r="BX58" s="192"/>
    </row>
    <row r="59" spans="1:76">
      <c r="A59" s="192">
        <v>625</v>
      </c>
      <c r="B59" s="192">
        <v>0.61518297574666603</v>
      </c>
      <c r="C59" s="192">
        <v>3.6101723809333301E-3</v>
      </c>
      <c r="D59" s="192">
        <v>0.31340387343999998</v>
      </c>
      <c r="E59" s="192">
        <v>0.374016672766666</v>
      </c>
      <c r="F59" s="192">
        <v>3.9983806291999997E-2</v>
      </c>
      <c r="G59" s="192">
        <v>0.63655501302666595</v>
      </c>
      <c r="H59" s="192">
        <v>9.97875762066666E-3</v>
      </c>
      <c r="I59" s="192">
        <v>6.3405187289333295E-2</v>
      </c>
      <c r="J59" s="192">
        <v>0.612688555393333</v>
      </c>
      <c r="K59" s="192">
        <v>0.424959571839999</v>
      </c>
      <c r="L59" s="192">
        <v>0.24874191538000001</v>
      </c>
      <c r="M59" s="192">
        <v>0.38402236430666598</v>
      </c>
      <c r="N59" s="192">
        <v>0.52499822488666603</v>
      </c>
      <c r="O59" s="192">
        <v>0.58507398223999996</v>
      </c>
      <c r="P59" s="192">
        <v>0.25486755244666598</v>
      </c>
      <c r="Q59" s="192">
        <v>0.12543688519999899</v>
      </c>
      <c r="R59" s="192">
        <v>5.1266223271999999E-2</v>
      </c>
      <c r="S59" s="192">
        <v>1.76914529006666E-2</v>
      </c>
      <c r="T59" s="192">
        <v>3.04284184773333E-2</v>
      </c>
      <c r="U59" s="192">
        <v>7.7895838420000002E-2</v>
      </c>
      <c r="V59" s="192">
        <v>0.144528565733333</v>
      </c>
      <c r="W59" s="192">
        <v>7.1567630450000003E-2</v>
      </c>
      <c r="X59" s="192">
        <v>5.83853127159999E-2</v>
      </c>
      <c r="Y59" s="192">
        <v>0.41661202749999998</v>
      </c>
      <c r="Z59" s="192">
        <v>0.111899550119999</v>
      </c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192"/>
      <c r="BV59" s="192"/>
      <c r="BW59" s="192"/>
      <c r="BX59" s="192"/>
    </row>
    <row r="60" spans="1:76">
      <c r="A60" s="192">
        <v>630</v>
      </c>
      <c r="B60" s="192">
        <v>0.60487728373333305</v>
      </c>
      <c r="C60" s="192">
        <v>3.59523372846666E-3</v>
      </c>
      <c r="D60" s="192">
        <v>0.33175952148666599</v>
      </c>
      <c r="E60" s="192">
        <v>0.38886935425333302</v>
      </c>
      <c r="F60" s="192">
        <v>3.5846266746666598E-2</v>
      </c>
      <c r="G60" s="192">
        <v>0.63392790730666604</v>
      </c>
      <c r="H60" s="192">
        <v>9.1924470266666596E-3</v>
      </c>
      <c r="I60" s="192">
        <v>6.0801517487999897E-2</v>
      </c>
      <c r="J60" s="192">
        <v>0.60295202636</v>
      </c>
      <c r="K60" s="192">
        <v>0.41377335865999898</v>
      </c>
      <c r="L60" s="192">
        <v>0.238626598359999</v>
      </c>
      <c r="M60" s="192">
        <v>0.40027221934000001</v>
      </c>
      <c r="N60" s="192">
        <v>0.53665313467999898</v>
      </c>
      <c r="O60" s="192">
        <v>0.58759024811333305</v>
      </c>
      <c r="P60" s="192">
        <v>0.24228213502666601</v>
      </c>
      <c r="Q60" s="192">
        <v>0.119169439306666</v>
      </c>
      <c r="R60" s="192">
        <v>4.7955594061999902E-2</v>
      </c>
      <c r="S60" s="192">
        <v>1.6980448961999999E-2</v>
      </c>
      <c r="T60" s="192">
        <v>2.7831469059999999E-2</v>
      </c>
      <c r="U60" s="192">
        <v>7.0356532415333295E-2</v>
      </c>
      <c r="V60" s="192">
        <v>0.13733789190000001</v>
      </c>
      <c r="W60" s="192">
        <v>6.6849685034000003E-2</v>
      </c>
      <c r="X60" s="192">
        <v>5.4393540700666598E-2</v>
      </c>
      <c r="Y60" s="192">
        <v>0.41409389750666598</v>
      </c>
      <c r="Z60" s="192">
        <v>0.108053794226666</v>
      </c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2"/>
      <c r="AX60" s="192"/>
      <c r="AY60" s="192"/>
      <c r="AZ60" s="192"/>
      <c r="BA60" s="192"/>
      <c r="BB60" s="192"/>
      <c r="BC60" s="192"/>
      <c r="BD60" s="192"/>
      <c r="BE60" s="192"/>
      <c r="BF60" s="192"/>
      <c r="BG60" s="192"/>
      <c r="BH60" s="192"/>
      <c r="BI60" s="192"/>
      <c r="BJ60" s="192"/>
      <c r="BK60" s="192"/>
      <c r="BL60" s="192"/>
      <c r="BM60" s="192"/>
      <c r="BN60" s="192"/>
      <c r="BO60" s="192"/>
      <c r="BP60" s="192"/>
      <c r="BQ60" s="192"/>
      <c r="BR60" s="192"/>
      <c r="BS60" s="192"/>
      <c r="BT60" s="192"/>
      <c r="BU60" s="192"/>
      <c r="BV60" s="192"/>
      <c r="BW60" s="192"/>
      <c r="BX60" s="192"/>
    </row>
    <row r="61" spans="1:76">
      <c r="A61" s="192">
        <v>635</v>
      </c>
      <c r="B61" s="192">
        <v>0.59795907337999898</v>
      </c>
      <c r="C61" s="192">
        <v>3.0446849266E-3</v>
      </c>
      <c r="D61" s="192">
        <v>0.34794363911333298</v>
      </c>
      <c r="E61" s="192">
        <v>0.40220104472666601</v>
      </c>
      <c r="F61" s="192">
        <v>3.23720954253333E-2</v>
      </c>
      <c r="G61" s="192">
        <v>0.63377656045333297</v>
      </c>
      <c r="H61" s="192">
        <v>8.2482526302666594E-3</v>
      </c>
      <c r="I61" s="192">
        <v>5.80838721579999E-2</v>
      </c>
      <c r="J61" s="192">
        <v>0.59628937530666604</v>
      </c>
      <c r="K61" s="192">
        <v>0.40509077706666602</v>
      </c>
      <c r="L61" s="192">
        <v>0.23040446344666601</v>
      </c>
      <c r="M61" s="192">
        <v>0.41481154887999899</v>
      </c>
      <c r="N61" s="192">
        <v>0.54800631460000004</v>
      </c>
      <c r="O61" s="192">
        <v>0.59121497853333305</v>
      </c>
      <c r="P61" s="192">
        <v>0.23227193196000001</v>
      </c>
      <c r="Q61" s="192">
        <v>0.113031447106666</v>
      </c>
      <c r="R61" s="192">
        <v>4.5167571703999897E-2</v>
      </c>
      <c r="S61" s="192">
        <v>1.54777277313333E-2</v>
      </c>
      <c r="T61" s="192">
        <v>2.5980953693333302E-2</v>
      </c>
      <c r="U61" s="192">
        <v>6.4268088658000003E-2</v>
      </c>
      <c r="V61" s="192">
        <v>0.13133434931333299</v>
      </c>
      <c r="W61" s="192">
        <v>6.2557360331999906E-2</v>
      </c>
      <c r="X61" s="192">
        <v>5.0463320732000001E-2</v>
      </c>
      <c r="Y61" s="192">
        <v>0.41284654744666599</v>
      </c>
      <c r="Z61" s="192">
        <v>0.104921188993333</v>
      </c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2"/>
      <c r="BH61" s="192"/>
      <c r="BI61" s="192"/>
      <c r="BJ61" s="192"/>
      <c r="BK61" s="192"/>
      <c r="BL61" s="192"/>
      <c r="BM61" s="192"/>
      <c r="BN61" s="192"/>
      <c r="BO61" s="192"/>
      <c r="BP61" s="192"/>
      <c r="BQ61" s="192"/>
      <c r="BR61" s="192"/>
      <c r="BS61" s="192"/>
      <c r="BT61" s="192"/>
      <c r="BU61" s="192"/>
      <c r="BV61" s="192"/>
      <c r="BW61" s="192"/>
      <c r="BX61" s="192"/>
    </row>
    <row r="62" spans="1:76">
      <c r="A62" s="192">
        <v>640</v>
      </c>
      <c r="B62" s="192">
        <v>0.59810433198000001</v>
      </c>
      <c r="C62" s="192">
        <v>2.88836022717333E-3</v>
      </c>
      <c r="D62" s="192">
        <v>0.36431717428666599</v>
      </c>
      <c r="E62" s="192">
        <v>0.41655126443999901</v>
      </c>
      <c r="F62" s="192">
        <v>3.0086495081999901E-2</v>
      </c>
      <c r="G62" s="192">
        <v>0.63929409790000002</v>
      </c>
      <c r="H62" s="192">
        <v>7.6504562298000001E-3</v>
      </c>
      <c r="I62" s="192">
        <v>5.6833342871333299E-2</v>
      </c>
      <c r="J62" s="192">
        <v>0.59592012786666604</v>
      </c>
      <c r="K62" s="192">
        <v>0.40147560119999998</v>
      </c>
      <c r="L62" s="192">
        <v>0.22556684620666601</v>
      </c>
      <c r="M62" s="192">
        <v>0.43084740956666601</v>
      </c>
      <c r="N62" s="192">
        <v>0.56188546497999903</v>
      </c>
      <c r="O62" s="192">
        <v>0.59944221496666605</v>
      </c>
      <c r="P62" s="192">
        <v>0.22604118981999899</v>
      </c>
      <c r="Q62" s="192">
        <v>0.109225200013333</v>
      </c>
      <c r="R62" s="192">
        <v>4.3118024190666598E-2</v>
      </c>
      <c r="S62" s="192">
        <v>1.4365624745999899E-2</v>
      </c>
      <c r="T62" s="192">
        <v>2.4497775237333302E-2</v>
      </c>
      <c r="U62" s="192">
        <v>6.0278373081999903E-2</v>
      </c>
      <c r="V62" s="192">
        <v>0.12766854350000001</v>
      </c>
      <c r="W62" s="192">
        <v>5.9398228009333302E-2</v>
      </c>
      <c r="X62" s="192">
        <v>4.7695192655999898E-2</v>
      </c>
      <c r="Y62" s="192">
        <v>0.41474863687333302</v>
      </c>
      <c r="Z62" s="192">
        <v>0.10305021222666599</v>
      </c>
      <c r="AA62" s="192"/>
      <c r="AB62" s="192"/>
      <c r="AC62" s="192"/>
      <c r="AD62" s="192"/>
      <c r="AE62" s="192"/>
      <c r="AF62" s="192"/>
      <c r="AG62" s="192"/>
      <c r="AH62" s="192"/>
      <c r="AI62" s="192"/>
      <c r="AJ62" s="192"/>
      <c r="AK62" s="192"/>
      <c r="AL62" s="192"/>
      <c r="AM62" s="192"/>
      <c r="AN62" s="192"/>
      <c r="AO62" s="192"/>
      <c r="AP62" s="192"/>
      <c r="AQ62" s="192"/>
      <c r="AR62" s="192"/>
      <c r="AS62" s="192"/>
      <c r="AT62" s="192"/>
      <c r="AU62" s="192"/>
      <c r="AV62" s="192"/>
      <c r="AW62" s="192"/>
      <c r="AX62" s="192"/>
      <c r="AY62" s="192"/>
      <c r="AZ62" s="192"/>
      <c r="BA62" s="192"/>
      <c r="BB62" s="192"/>
      <c r="BC62" s="192"/>
      <c r="BD62" s="192"/>
      <c r="BE62" s="192"/>
      <c r="BF62" s="192"/>
      <c r="BG62" s="192"/>
      <c r="BH62" s="192"/>
      <c r="BI62" s="192"/>
      <c r="BJ62" s="192"/>
      <c r="BK62" s="192"/>
      <c r="BL62" s="192"/>
      <c r="BM62" s="192"/>
      <c r="BN62" s="192"/>
      <c r="BO62" s="192"/>
      <c r="BP62" s="192"/>
      <c r="BQ62" s="192"/>
      <c r="BR62" s="192"/>
      <c r="BS62" s="192"/>
      <c r="BT62" s="192"/>
      <c r="BU62" s="192"/>
      <c r="BV62" s="192"/>
      <c r="BW62" s="192"/>
      <c r="BX62" s="192"/>
    </row>
    <row r="63" spans="1:76">
      <c r="A63" s="192">
        <v>645</v>
      </c>
      <c r="B63" s="192">
        <v>0.60387687174000004</v>
      </c>
      <c r="C63" s="192">
        <v>1.95306538281999E-3</v>
      </c>
      <c r="D63" s="192">
        <v>0.382313313799999</v>
      </c>
      <c r="E63" s="192">
        <v>0.43253821308666601</v>
      </c>
      <c r="F63" s="192">
        <v>2.8195532003333301E-2</v>
      </c>
      <c r="G63" s="192">
        <v>0.65071592711999904</v>
      </c>
      <c r="H63" s="192">
        <v>6.8618748190000002E-3</v>
      </c>
      <c r="I63" s="192">
        <v>5.5927920658666599E-2</v>
      </c>
      <c r="J63" s="192">
        <v>0.60204172262</v>
      </c>
      <c r="K63" s="192">
        <v>0.40249673714666601</v>
      </c>
      <c r="L63" s="192">
        <v>0.22381488290000001</v>
      </c>
      <c r="M63" s="192">
        <v>0.44869699350666598</v>
      </c>
      <c r="N63" s="192">
        <v>0.579758547459999</v>
      </c>
      <c r="O63" s="192">
        <v>0.61235649108666601</v>
      </c>
      <c r="P63" s="192">
        <v>0.22364673105999899</v>
      </c>
      <c r="Q63" s="192">
        <v>0.107906089146666</v>
      </c>
      <c r="R63" s="192">
        <v>4.2022657871333302E-2</v>
      </c>
      <c r="S63" s="192">
        <v>1.37219268479999E-2</v>
      </c>
      <c r="T63" s="192">
        <v>2.3314026990666599E-2</v>
      </c>
      <c r="U63" s="192">
        <v>5.7545543034666601E-2</v>
      </c>
      <c r="V63" s="192">
        <v>0.12549689419333299</v>
      </c>
      <c r="W63" s="192">
        <v>5.7549839656666602E-2</v>
      </c>
      <c r="X63" s="192">
        <v>4.6100400288666597E-2</v>
      </c>
      <c r="Y63" s="192">
        <v>0.42068445333999999</v>
      </c>
      <c r="Z63" s="192">
        <v>0.102603598899999</v>
      </c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2"/>
      <c r="BH63" s="192"/>
      <c r="BI63" s="192"/>
      <c r="BJ63" s="192"/>
      <c r="BK63" s="192"/>
      <c r="BL63" s="192"/>
      <c r="BM63" s="192"/>
      <c r="BN63" s="192"/>
      <c r="BO63" s="192"/>
      <c r="BP63" s="192"/>
      <c r="BQ63" s="192"/>
      <c r="BR63" s="192"/>
      <c r="BS63" s="192"/>
      <c r="BT63" s="192"/>
      <c r="BU63" s="192"/>
      <c r="BV63" s="192"/>
      <c r="BW63" s="192"/>
      <c r="BX63" s="192"/>
    </row>
    <row r="64" spans="1:76">
      <c r="A64" s="192">
        <v>650</v>
      </c>
      <c r="B64" s="192">
        <v>0.61434681193333296</v>
      </c>
      <c r="C64" s="192">
        <v>2.4914622654533302E-3</v>
      </c>
      <c r="D64" s="192">
        <v>0.40241969553333301</v>
      </c>
      <c r="E64" s="192">
        <v>0.45175811259999898</v>
      </c>
      <c r="F64" s="192">
        <v>2.8902047315333301E-2</v>
      </c>
      <c r="G64" s="192">
        <v>0.66648241678666598</v>
      </c>
      <c r="H64" s="192">
        <v>7.5420971313333298E-3</v>
      </c>
      <c r="I64" s="192">
        <v>5.81788069406666E-2</v>
      </c>
      <c r="J64" s="192">
        <v>0.61280661266666603</v>
      </c>
      <c r="K64" s="192">
        <v>0.40827618154666601</v>
      </c>
      <c r="L64" s="192">
        <v>0.22645500437999899</v>
      </c>
      <c r="M64" s="192">
        <v>0.46847463481333301</v>
      </c>
      <c r="N64" s="192">
        <v>0.60056222534000003</v>
      </c>
      <c r="O64" s="192">
        <v>0.62905181121333298</v>
      </c>
      <c r="P64" s="192">
        <v>0.22462958526666599</v>
      </c>
      <c r="Q64" s="192">
        <v>0.109059061059999</v>
      </c>
      <c r="R64" s="192">
        <v>4.2633424440666597E-2</v>
      </c>
      <c r="S64" s="192">
        <v>1.47087658253333E-2</v>
      </c>
      <c r="T64" s="192">
        <v>2.3879864216E-2</v>
      </c>
      <c r="U64" s="192">
        <v>5.7889465966666602E-2</v>
      </c>
      <c r="V64" s="192">
        <v>0.12696509614000001</v>
      </c>
      <c r="W64" s="192">
        <v>5.8803654987999901E-2</v>
      </c>
      <c r="X64" s="192">
        <v>4.6427438099999899E-2</v>
      </c>
      <c r="Y64" s="192">
        <v>0.43060965221333303</v>
      </c>
      <c r="Z64" s="192">
        <v>0.10483738835333301</v>
      </c>
      <c r="AA64" s="192"/>
      <c r="AB64" s="192"/>
      <c r="AC64" s="192"/>
      <c r="AD64" s="192"/>
      <c r="AE64" s="192"/>
      <c r="AF64" s="192"/>
      <c r="AG64" s="192"/>
      <c r="AH64" s="192"/>
      <c r="AI64" s="192"/>
      <c r="AJ64" s="192"/>
      <c r="AK64" s="192"/>
      <c r="AL64" s="192"/>
      <c r="AM64" s="192"/>
      <c r="AN64" s="192"/>
      <c r="AO64" s="192"/>
      <c r="AP64" s="192"/>
      <c r="AQ64" s="192"/>
      <c r="AR64" s="192"/>
      <c r="AS64" s="192"/>
      <c r="AT64" s="192"/>
      <c r="AU64" s="192"/>
      <c r="AV64" s="192"/>
      <c r="AW64" s="192"/>
      <c r="AX64" s="192"/>
      <c r="AY64" s="192"/>
      <c r="AZ64" s="192"/>
      <c r="BA64" s="192"/>
      <c r="BB64" s="192"/>
      <c r="BC64" s="192"/>
      <c r="BD64" s="192"/>
      <c r="BE64" s="192"/>
      <c r="BF64" s="192"/>
      <c r="BG64" s="192"/>
      <c r="BH64" s="192"/>
      <c r="BI64" s="192"/>
      <c r="BJ64" s="192"/>
      <c r="BK64" s="192"/>
      <c r="BL64" s="192"/>
      <c r="BM64" s="192"/>
      <c r="BN64" s="192"/>
      <c r="BO64" s="192"/>
      <c r="BP64" s="192"/>
      <c r="BQ64" s="192"/>
      <c r="BR64" s="192"/>
      <c r="BS64" s="192"/>
      <c r="BT64" s="192"/>
      <c r="BU64" s="192"/>
      <c r="BV64" s="192"/>
      <c r="BW64" s="192"/>
      <c r="BX64" s="192"/>
    </row>
    <row r="65" spans="1:76">
      <c r="A65" s="192">
        <v>655</v>
      </c>
      <c r="B65" s="192">
        <v>0.62606697082666596</v>
      </c>
      <c r="C65" s="192">
        <v>2.5722695292000001E-3</v>
      </c>
      <c r="D65" s="192">
        <v>0.42144777680666601</v>
      </c>
      <c r="E65" s="192">
        <v>0.46977285767999899</v>
      </c>
      <c r="F65" s="192">
        <v>2.9064261914000002E-2</v>
      </c>
      <c r="G65" s="192">
        <v>0.68197197469333304</v>
      </c>
      <c r="H65" s="192">
        <v>8.0793040593333306E-3</v>
      </c>
      <c r="I65" s="192">
        <v>5.9275414785333297E-2</v>
      </c>
      <c r="J65" s="192">
        <v>0.62452683003999898</v>
      </c>
      <c r="K65" s="192">
        <v>0.41477056885999902</v>
      </c>
      <c r="L65" s="192">
        <v>0.229662347146666</v>
      </c>
      <c r="M65" s="192">
        <v>0.486916216533333</v>
      </c>
      <c r="N65" s="192">
        <v>0.62026753233999898</v>
      </c>
      <c r="O65" s="192">
        <v>0.64582036336666604</v>
      </c>
      <c r="P65" s="192">
        <v>0.22760921478000001</v>
      </c>
      <c r="Q65" s="192">
        <v>0.11109354082</v>
      </c>
      <c r="R65" s="192">
        <v>4.3579065958666598E-2</v>
      </c>
      <c r="S65" s="192">
        <v>1.52344572546666E-2</v>
      </c>
      <c r="T65" s="192">
        <v>2.42880878446666E-2</v>
      </c>
      <c r="U65" s="192">
        <v>5.8278647103333303E-2</v>
      </c>
      <c r="V65" s="192">
        <v>0.12903193092666601</v>
      </c>
      <c r="W65" s="192">
        <v>5.9601857504000003E-2</v>
      </c>
      <c r="X65" s="192">
        <v>4.6945114454E-2</v>
      </c>
      <c r="Y65" s="192">
        <v>0.441070604959999</v>
      </c>
      <c r="Z65" s="192">
        <v>0.107205100999999</v>
      </c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192"/>
      <c r="BX65" s="192"/>
    </row>
    <row r="66" spans="1:76">
      <c r="A66" s="192">
        <v>660</v>
      </c>
      <c r="B66" s="192">
        <v>0.63662311807999905</v>
      </c>
      <c r="C66" s="192">
        <v>2.7157886773466599E-3</v>
      </c>
      <c r="D66" s="192">
        <v>0.43899934131999901</v>
      </c>
      <c r="E66" s="192">
        <v>0.485672925313333</v>
      </c>
      <c r="F66" s="192">
        <v>2.99078416806666E-2</v>
      </c>
      <c r="G66" s="192">
        <v>0.69564649964666603</v>
      </c>
      <c r="H66" s="192">
        <v>8.3968878189333296E-3</v>
      </c>
      <c r="I66" s="192">
        <v>6.1915945370666602E-2</v>
      </c>
      <c r="J66" s="192">
        <v>0.63522988128666602</v>
      </c>
      <c r="K66" s="192">
        <v>0.42210835776</v>
      </c>
      <c r="L66" s="192">
        <v>0.23424771244666601</v>
      </c>
      <c r="M66" s="192">
        <v>0.50465607961333303</v>
      </c>
      <c r="N66" s="192">
        <v>0.63773796336666599</v>
      </c>
      <c r="O66" s="192">
        <v>0.66047065734666599</v>
      </c>
      <c r="P66" s="192">
        <v>0.23164394888000001</v>
      </c>
      <c r="Q66" s="192">
        <v>0.113859645193333</v>
      </c>
      <c r="R66" s="192">
        <v>4.5459253629999898E-2</v>
      </c>
      <c r="S66" s="192">
        <v>1.6209552287333302E-2</v>
      </c>
      <c r="T66" s="192">
        <v>2.5105846405333299E-2</v>
      </c>
      <c r="U66" s="192">
        <v>6.0091471671999998E-2</v>
      </c>
      <c r="V66" s="192">
        <v>0.13238010979333301</v>
      </c>
      <c r="W66" s="192">
        <v>6.1602302233333302E-2</v>
      </c>
      <c r="X66" s="192">
        <v>4.8618959428E-2</v>
      </c>
      <c r="Y66" s="192">
        <v>0.45103458658000001</v>
      </c>
      <c r="Z66" s="192">
        <v>0.110432006839999</v>
      </c>
      <c r="AA66" s="192"/>
      <c r="AB66" s="192"/>
      <c r="AC66" s="192"/>
      <c r="AD66" s="192"/>
      <c r="AE66" s="192"/>
      <c r="AF66" s="192"/>
      <c r="AG66" s="192"/>
      <c r="AH66" s="192"/>
      <c r="AI66" s="192"/>
      <c r="AJ66" s="192"/>
      <c r="AK66" s="192"/>
      <c r="AL66" s="192"/>
      <c r="AM66" s="192"/>
      <c r="AN66" s="192"/>
      <c r="AO66" s="192"/>
      <c r="AP66" s="192"/>
      <c r="AQ66" s="192"/>
      <c r="AR66" s="192"/>
      <c r="AS66" s="192"/>
      <c r="AT66" s="192"/>
      <c r="AU66" s="192"/>
      <c r="AV66" s="192"/>
      <c r="AW66" s="192"/>
      <c r="AX66" s="192"/>
      <c r="AY66" s="192"/>
      <c r="AZ66" s="192"/>
      <c r="BA66" s="192"/>
      <c r="BB66" s="192"/>
      <c r="BC66" s="192"/>
      <c r="BD66" s="192"/>
      <c r="BE66" s="192"/>
      <c r="BF66" s="192"/>
      <c r="BG66" s="192"/>
      <c r="BH66" s="192"/>
      <c r="BI66" s="192"/>
      <c r="BJ66" s="192"/>
      <c r="BK66" s="192"/>
      <c r="BL66" s="192"/>
      <c r="BM66" s="192"/>
      <c r="BN66" s="192"/>
      <c r="BO66" s="192"/>
      <c r="BP66" s="192"/>
      <c r="BQ66" s="192"/>
      <c r="BR66" s="192"/>
      <c r="BS66" s="192"/>
      <c r="BT66" s="192"/>
      <c r="BU66" s="192"/>
      <c r="BV66" s="192"/>
      <c r="BW66" s="192"/>
      <c r="BX66" s="192"/>
    </row>
    <row r="67" spans="1:76">
      <c r="A67" s="192">
        <v>665</v>
      </c>
      <c r="B67" s="192">
        <v>0.64551574199333295</v>
      </c>
      <c r="C67" s="192">
        <v>2.4545187850666598E-3</v>
      </c>
      <c r="D67" s="192">
        <v>0.45450192769999997</v>
      </c>
      <c r="E67" s="192">
        <v>0.50086860402</v>
      </c>
      <c r="F67" s="192">
        <v>3.10265695259999E-2</v>
      </c>
      <c r="G67" s="192">
        <v>0.70716263327333295</v>
      </c>
      <c r="H67" s="192">
        <v>8.356786251E-3</v>
      </c>
      <c r="I67" s="192">
        <v>6.4206657726666602E-2</v>
      </c>
      <c r="J67" s="192">
        <v>0.64442124938000001</v>
      </c>
      <c r="K67" s="192">
        <v>0.42897706348666598</v>
      </c>
      <c r="L67" s="192">
        <v>0.239375328066666</v>
      </c>
      <c r="M67" s="192">
        <v>0.52023323566666602</v>
      </c>
      <c r="N67" s="192">
        <v>0.65195740255999901</v>
      </c>
      <c r="O67" s="192">
        <v>0.67319773863999899</v>
      </c>
      <c r="P67" s="192">
        <v>0.23608780161999901</v>
      </c>
      <c r="Q67" s="192">
        <v>0.116842295973333</v>
      </c>
      <c r="R67" s="192">
        <v>4.7115807532666601E-2</v>
      </c>
      <c r="S67" s="192">
        <v>1.66336900393333E-2</v>
      </c>
      <c r="T67" s="192">
        <v>2.6239143053999998E-2</v>
      </c>
      <c r="U67" s="192">
        <v>6.0985355376E-2</v>
      </c>
      <c r="V67" s="192">
        <v>0.135998903913333</v>
      </c>
      <c r="W67" s="192">
        <v>6.3252377509999902E-2</v>
      </c>
      <c r="X67" s="192">
        <v>5.0621203105333301E-2</v>
      </c>
      <c r="Y67" s="192">
        <v>0.46041006471333301</v>
      </c>
      <c r="Z67" s="192">
        <v>0.114117781959999</v>
      </c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2"/>
      <c r="BH67" s="192"/>
      <c r="BI67" s="192"/>
      <c r="BJ67" s="192"/>
      <c r="BK67" s="192"/>
      <c r="BL67" s="192"/>
      <c r="BM67" s="192"/>
      <c r="BN67" s="192"/>
      <c r="BO67" s="192"/>
      <c r="BP67" s="192"/>
      <c r="BQ67" s="192"/>
      <c r="BR67" s="192"/>
      <c r="BS67" s="192"/>
      <c r="BT67" s="192"/>
      <c r="BU67" s="192"/>
      <c r="BV67" s="192"/>
      <c r="BW67" s="192"/>
      <c r="BX67" s="192"/>
    </row>
    <row r="68" spans="1:76">
      <c r="A68" s="192">
        <v>670</v>
      </c>
      <c r="B68" s="192">
        <v>0.65406703186666604</v>
      </c>
      <c r="C68" s="192">
        <v>3.3347679674666599E-3</v>
      </c>
      <c r="D68" s="192">
        <v>0.46925727844666598</v>
      </c>
      <c r="E68" s="192">
        <v>0.51472068023999995</v>
      </c>
      <c r="F68" s="192">
        <v>3.3825207550666599E-2</v>
      </c>
      <c r="G68" s="192">
        <v>0.71656372578666605</v>
      </c>
      <c r="H68" s="192">
        <v>9.7947514059333295E-3</v>
      </c>
      <c r="I68" s="192">
        <v>6.8342982926666601E-2</v>
      </c>
      <c r="J68" s="192">
        <v>0.65264103698666598</v>
      </c>
      <c r="K68" s="192">
        <v>0.43782981363333301</v>
      </c>
      <c r="L68" s="192">
        <v>0.24641531752666601</v>
      </c>
      <c r="M68" s="192">
        <v>0.53468654634000001</v>
      </c>
      <c r="N68" s="192">
        <v>0.66547347514666599</v>
      </c>
      <c r="O68" s="192">
        <v>0.68368457029999996</v>
      </c>
      <c r="P68" s="192">
        <v>0.242896405533333</v>
      </c>
      <c r="Q68" s="192">
        <v>0.122449056633333</v>
      </c>
      <c r="R68" s="192">
        <v>5.055134805E-2</v>
      </c>
      <c r="S68" s="192">
        <v>1.8551171223333301E-2</v>
      </c>
      <c r="T68" s="192">
        <v>2.8745775221999899E-2</v>
      </c>
      <c r="U68" s="192">
        <v>6.4395232518666606E-2</v>
      </c>
      <c r="V68" s="192">
        <v>0.14156619262</v>
      </c>
      <c r="W68" s="192">
        <v>6.6890801429999897E-2</v>
      </c>
      <c r="X68" s="192">
        <v>5.3671964645333303E-2</v>
      </c>
      <c r="Y68" s="192">
        <v>0.47040112050666599</v>
      </c>
      <c r="Z68" s="192">
        <v>0.120118135459999</v>
      </c>
      <c r="AA68" s="192"/>
      <c r="AB68" s="192"/>
      <c r="AC68" s="192"/>
      <c r="AD68" s="192"/>
      <c r="AE68" s="192"/>
      <c r="AF68" s="192"/>
      <c r="AG68" s="192"/>
      <c r="AH68" s="192"/>
      <c r="AI68" s="192"/>
      <c r="AJ68" s="192"/>
      <c r="AK68" s="192"/>
      <c r="AL68" s="192"/>
      <c r="AM68" s="192"/>
      <c r="AN68" s="192"/>
      <c r="AO68" s="192"/>
      <c r="AP68" s="192"/>
      <c r="AQ68" s="192"/>
      <c r="AR68" s="192"/>
      <c r="AS68" s="192"/>
      <c r="AT68" s="192"/>
      <c r="AU68" s="192"/>
      <c r="AV68" s="192"/>
      <c r="AW68" s="192"/>
      <c r="AX68" s="192"/>
      <c r="AY68" s="192"/>
      <c r="AZ68" s="192"/>
      <c r="BA68" s="192"/>
      <c r="BB68" s="192"/>
      <c r="BC68" s="192"/>
      <c r="BD68" s="192"/>
      <c r="BE68" s="192"/>
      <c r="BF68" s="192"/>
      <c r="BG68" s="192"/>
      <c r="BH68" s="192"/>
      <c r="BI68" s="192"/>
      <c r="BJ68" s="192"/>
      <c r="BK68" s="192"/>
      <c r="BL68" s="192"/>
      <c r="BM68" s="192"/>
      <c r="BN68" s="192"/>
      <c r="BO68" s="192"/>
      <c r="BP68" s="192"/>
      <c r="BQ68" s="192"/>
      <c r="BR68" s="192"/>
      <c r="BS68" s="192"/>
      <c r="BT68" s="192"/>
      <c r="BU68" s="192"/>
      <c r="BV68" s="192"/>
      <c r="BW68" s="192"/>
      <c r="BX68" s="192"/>
    </row>
    <row r="69" spans="1:76">
      <c r="A69" s="192">
        <v>675</v>
      </c>
      <c r="B69" s="192">
        <v>0.66249126688666604</v>
      </c>
      <c r="C69" s="192">
        <v>3.47502062706666E-3</v>
      </c>
      <c r="D69" s="192">
        <v>0.48408138274666601</v>
      </c>
      <c r="E69" s="192">
        <v>0.52799786375333302</v>
      </c>
      <c r="F69" s="192">
        <v>3.6224350771333298E-2</v>
      </c>
      <c r="G69" s="192">
        <v>0.72511237587999899</v>
      </c>
      <c r="H69" s="192">
        <v>1.06161986988666E-2</v>
      </c>
      <c r="I69" s="192">
        <v>7.2952111879333301E-2</v>
      </c>
      <c r="J69" s="192">
        <v>0.66057532245999895</v>
      </c>
      <c r="K69" s="192">
        <v>0.44713735452666598</v>
      </c>
      <c r="L69" s="192">
        <v>0.25475858815333302</v>
      </c>
      <c r="M69" s="192">
        <v>0.54872603353333305</v>
      </c>
      <c r="N69" s="192">
        <v>0.67678393555333305</v>
      </c>
      <c r="O69" s="192">
        <v>0.69321013386666597</v>
      </c>
      <c r="P69" s="192">
        <v>0.250996734619999</v>
      </c>
      <c r="Q69" s="192">
        <v>0.12908834583999901</v>
      </c>
      <c r="R69" s="192">
        <v>5.4237373352666603E-2</v>
      </c>
      <c r="S69" s="192">
        <v>2.02434982459999E-2</v>
      </c>
      <c r="T69" s="192">
        <v>3.1410095373999899E-2</v>
      </c>
      <c r="U69" s="192">
        <v>6.8738749503333293E-2</v>
      </c>
      <c r="V69" s="192">
        <v>0.14863081358666599</v>
      </c>
      <c r="W69" s="192">
        <v>7.1388014793999893E-2</v>
      </c>
      <c r="X69" s="192">
        <v>5.7271785419333303E-2</v>
      </c>
      <c r="Y69" s="192">
        <v>0.48123641967999897</v>
      </c>
      <c r="Z69" s="192">
        <v>0.126642042166666</v>
      </c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2"/>
      <c r="BH69" s="192"/>
      <c r="BI69" s="192"/>
      <c r="BJ69" s="192"/>
      <c r="BK69" s="192"/>
      <c r="BL69" s="192"/>
      <c r="BM69" s="192"/>
      <c r="BN69" s="192"/>
      <c r="BO69" s="192"/>
      <c r="BP69" s="192"/>
      <c r="BQ69" s="192"/>
      <c r="BR69" s="192"/>
      <c r="BS69" s="192"/>
      <c r="BT69" s="192"/>
      <c r="BU69" s="192"/>
      <c r="BV69" s="192"/>
      <c r="BW69" s="192"/>
      <c r="BX69" s="192"/>
    </row>
    <row r="70" spans="1:76">
      <c r="A70" s="192">
        <v>680</v>
      </c>
      <c r="B70" s="192">
        <v>0.67055552674666596</v>
      </c>
      <c r="C70" s="192">
        <v>4.1320250232000002E-3</v>
      </c>
      <c r="D70" s="192">
        <v>0.49954497274666598</v>
      </c>
      <c r="E70" s="192">
        <v>0.54235913849999995</v>
      </c>
      <c r="F70" s="192">
        <v>3.9950448354666601E-2</v>
      </c>
      <c r="G70" s="192">
        <v>0.733884023033333</v>
      </c>
      <c r="H70" s="192">
        <v>1.2422403812999999E-2</v>
      </c>
      <c r="I70" s="192">
        <v>7.9639458974666594E-2</v>
      </c>
      <c r="J70" s="192">
        <v>0.66906286113333302</v>
      </c>
      <c r="K70" s="192">
        <v>0.45793596139999898</v>
      </c>
      <c r="L70" s="192">
        <v>0.26597133000666601</v>
      </c>
      <c r="M70" s="192">
        <v>0.56274732969999997</v>
      </c>
      <c r="N70" s="192">
        <v>0.68842658488666597</v>
      </c>
      <c r="O70" s="192">
        <v>0.70306569925999995</v>
      </c>
      <c r="P70" s="192">
        <v>0.26179905064666598</v>
      </c>
      <c r="Q70" s="192">
        <v>0.13715003077333299</v>
      </c>
      <c r="R70" s="192">
        <v>5.9629075368000002E-2</v>
      </c>
      <c r="S70" s="192">
        <v>2.34161691653333E-2</v>
      </c>
      <c r="T70" s="192">
        <v>3.4955598354666599E-2</v>
      </c>
      <c r="U70" s="192">
        <v>7.4612139702666599E-2</v>
      </c>
      <c r="V70" s="192">
        <v>0.15733678500000001</v>
      </c>
      <c r="W70" s="192">
        <v>7.7981520016666597E-2</v>
      </c>
      <c r="X70" s="192">
        <v>6.2729439735999995E-2</v>
      </c>
      <c r="Y70" s="192">
        <v>0.49301567840666599</v>
      </c>
      <c r="Z70" s="192">
        <v>0.13534426053333301</v>
      </c>
      <c r="AA70" s="192"/>
      <c r="AB70" s="192"/>
      <c r="AC70" s="192"/>
      <c r="AD70" s="192"/>
      <c r="AE70" s="192"/>
      <c r="AF70" s="192"/>
      <c r="AG70" s="192"/>
      <c r="AH70" s="192"/>
      <c r="AI70" s="192"/>
      <c r="AJ70" s="192"/>
      <c r="AK70" s="192"/>
      <c r="AL70" s="192"/>
      <c r="AM70" s="192"/>
      <c r="AN70" s="192"/>
      <c r="AO70" s="192"/>
      <c r="AP70" s="192"/>
      <c r="AQ70" s="192"/>
      <c r="AR70" s="192"/>
      <c r="AS70" s="192"/>
      <c r="AT70" s="192"/>
      <c r="AU70" s="192"/>
      <c r="AV70" s="192"/>
      <c r="AW70" s="192"/>
      <c r="AX70" s="192"/>
      <c r="AY70" s="192"/>
      <c r="AZ70" s="192"/>
      <c r="BA70" s="192"/>
      <c r="BB70" s="192"/>
      <c r="BC70" s="192"/>
      <c r="BD70" s="192"/>
      <c r="BE70" s="192"/>
      <c r="BF70" s="192"/>
      <c r="BG70" s="192"/>
      <c r="BH70" s="192"/>
      <c r="BI70" s="192"/>
      <c r="BJ70" s="192"/>
      <c r="BK70" s="192"/>
      <c r="BL70" s="192"/>
      <c r="BM70" s="192"/>
      <c r="BN70" s="192"/>
      <c r="BO70" s="192"/>
      <c r="BP70" s="192"/>
      <c r="BQ70" s="192"/>
      <c r="BR70" s="192"/>
      <c r="BS70" s="192"/>
      <c r="BT70" s="192"/>
      <c r="BU70" s="192"/>
      <c r="BV70" s="192"/>
      <c r="BW70" s="192"/>
      <c r="BX70" s="192"/>
    </row>
    <row r="71" spans="1:76">
      <c r="A71" s="192">
        <v>685</v>
      </c>
      <c r="B71" s="192">
        <v>0.67959486389999901</v>
      </c>
      <c r="C71" s="192">
        <v>6.2407601673333301E-3</v>
      </c>
      <c r="D71" s="192">
        <v>0.516210772206666</v>
      </c>
      <c r="E71" s="192">
        <v>0.55749641927999904</v>
      </c>
      <c r="F71" s="192">
        <v>4.60622208913333E-2</v>
      </c>
      <c r="G71" s="192">
        <v>0.74190098571333296</v>
      </c>
      <c r="H71" s="192">
        <v>1.6117625871999899E-2</v>
      </c>
      <c r="I71" s="192">
        <v>8.8175228117999896E-2</v>
      </c>
      <c r="J71" s="192">
        <v>0.67850705464666605</v>
      </c>
      <c r="K71" s="192">
        <v>0.47085506185333298</v>
      </c>
      <c r="L71" s="192">
        <v>0.27910623041333299</v>
      </c>
      <c r="M71" s="192">
        <v>0.57807418060666604</v>
      </c>
      <c r="N71" s="192">
        <v>0.69935177611999899</v>
      </c>
      <c r="O71" s="192">
        <v>0.71285755920666605</v>
      </c>
      <c r="P71" s="192">
        <v>0.27494214503999997</v>
      </c>
      <c r="Q71" s="192">
        <v>0.14825880050000001</v>
      </c>
      <c r="R71" s="192">
        <v>6.7410457611333297E-2</v>
      </c>
      <c r="S71" s="192">
        <v>2.76057952246666E-2</v>
      </c>
      <c r="T71" s="192">
        <v>4.0594513098666601E-2</v>
      </c>
      <c r="U71" s="192">
        <v>8.2980120022000003E-2</v>
      </c>
      <c r="V71" s="192">
        <v>0.16889655685333299</v>
      </c>
      <c r="W71" s="192">
        <v>8.6195600509999998E-2</v>
      </c>
      <c r="X71" s="192">
        <v>7.0220205306666603E-2</v>
      </c>
      <c r="Y71" s="192">
        <v>0.50665021514666597</v>
      </c>
      <c r="Z71" s="192">
        <v>0.146238910033333</v>
      </c>
      <c r="AA71" s="192"/>
      <c r="AB71" s="192"/>
      <c r="AC71" s="192"/>
      <c r="AD71" s="192"/>
      <c r="AE71" s="192"/>
      <c r="AF71" s="192"/>
      <c r="AG71" s="192"/>
      <c r="AH71" s="192"/>
      <c r="AI71" s="192"/>
      <c r="AJ71" s="192"/>
      <c r="AK71" s="192"/>
      <c r="AL71" s="192"/>
      <c r="AM71" s="192"/>
      <c r="AN71" s="192"/>
      <c r="AO71" s="192"/>
      <c r="AP71" s="192"/>
      <c r="AQ71" s="192"/>
      <c r="AR71" s="192"/>
      <c r="AS71" s="192"/>
      <c r="AT71" s="192"/>
      <c r="AU71" s="192"/>
      <c r="AV71" s="192"/>
      <c r="AW71" s="192"/>
      <c r="AX71" s="192"/>
      <c r="AY71" s="192"/>
      <c r="AZ71" s="192"/>
      <c r="BA71" s="192"/>
      <c r="BB71" s="192"/>
      <c r="BC71" s="192"/>
      <c r="BD71" s="192"/>
      <c r="BE71" s="192"/>
      <c r="BF71" s="192"/>
      <c r="BG71" s="192"/>
      <c r="BH71" s="192"/>
      <c r="BI71" s="192"/>
      <c r="BJ71" s="192"/>
      <c r="BK71" s="192"/>
      <c r="BL71" s="192"/>
      <c r="BM71" s="192"/>
      <c r="BN71" s="192"/>
      <c r="BO71" s="192"/>
      <c r="BP71" s="192"/>
      <c r="BQ71" s="192"/>
      <c r="BR71" s="192"/>
      <c r="BS71" s="192"/>
      <c r="BT71" s="192"/>
      <c r="BU71" s="192"/>
      <c r="BV71" s="192"/>
      <c r="BW71" s="192"/>
      <c r="BX71" s="192"/>
    </row>
    <row r="72" spans="1:76">
      <c r="A72" s="192">
        <v>690</v>
      </c>
      <c r="B72" s="192">
        <v>0.68957404581333304</v>
      </c>
      <c r="C72" s="192">
        <v>7.8876816034000007E-3</v>
      </c>
      <c r="D72" s="192">
        <v>0.53223672739333305</v>
      </c>
      <c r="E72" s="192">
        <v>0.57283035278666605</v>
      </c>
      <c r="F72" s="192">
        <v>5.2476046562666599E-2</v>
      </c>
      <c r="G72" s="192">
        <v>0.74992233277333298</v>
      </c>
      <c r="H72" s="192">
        <v>1.8887884380000001E-2</v>
      </c>
      <c r="I72" s="192">
        <v>9.8599241253999895E-2</v>
      </c>
      <c r="J72" s="192">
        <v>0.688340016666666</v>
      </c>
      <c r="K72" s="192">
        <v>0.48599413046000001</v>
      </c>
      <c r="L72" s="192">
        <v>0.29432920073333302</v>
      </c>
      <c r="M72" s="192">
        <v>0.59303022767333302</v>
      </c>
      <c r="N72" s="192">
        <v>0.71038181558666602</v>
      </c>
      <c r="O72" s="192">
        <v>0.72201652018666596</v>
      </c>
      <c r="P72" s="192">
        <v>0.29018052801333299</v>
      </c>
      <c r="Q72" s="192">
        <v>0.16104713503999901</v>
      </c>
      <c r="R72" s="192">
        <v>7.5863898277333294E-2</v>
      </c>
      <c r="S72" s="192">
        <v>3.2815859635333303E-2</v>
      </c>
      <c r="T72" s="192">
        <v>4.6835093815999998E-2</v>
      </c>
      <c r="U72" s="192">
        <v>9.1948431649999898E-2</v>
      </c>
      <c r="V72" s="192">
        <v>0.18274318184666599</v>
      </c>
      <c r="W72" s="192">
        <v>9.6111837391333305E-2</v>
      </c>
      <c r="X72" s="192">
        <v>7.8785263379333295E-2</v>
      </c>
      <c r="Y72" s="192">
        <v>0.52151225535333301</v>
      </c>
      <c r="Z72" s="192">
        <v>0.159479344673333</v>
      </c>
      <c r="AA72" s="192"/>
      <c r="AB72" s="192"/>
      <c r="AC72" s="192"/>
      <c r="AD72" s="192"/>
      <c r="AE72" s="192"/>
      <c r="AF72" s="192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2"/>
      <c r="AR72" s="192"/>
      <c r="AS72" s="192"/>
      <c r="AT72" s="192"/>
      <c r="AU72" s="192"/>
      <c r="AV72" s="192"/>
      <c r="AW72" s="192"/>
      <c r="AX72" s="192"/>
      <c r="AY72" s="192"/>
      <c r="AZ72" s="192"/>
      <c r="BA72" s="192"/>
      <c r="BB72" s="192"/>
      <c r="BC72" s="192"/>
      <c r="BD72" s="192"/>
      <c r="BE72" s="192"/>
      <c r="BF72" s="192"/>
      <c r="BG72" s="192"/>
      <c r="BH72" s="192"/>
      <c r="BI72" s="192"/>
      <c r="BJ72" s="192"/>
      <c r="BK72" s="192"/>
      <c r="BL72" s="192"/>
      <c r="BM72" s="192"/>
      <c r="BN72" s="192"/>
      <c r="BO72" s="192"/>
      <c r="BP72" s="192"/>
      <c r="BQ72" s="192"/>
      <c r="BR72" s="192"/>
      <c r="BS72" s="192"/>
      <c r="BT72" s="192"/>
      <c r="BU72" s="192"/>
      <c r="BV72" s="192"/>
      <c r="BW72" s="192"/>
      <c r="BX72" s="192"/>
    </row>
    <row r="73" spans="1:76">
      <c r="A73" s="192">
        <v>695</v>
      </c>
      <c r="B73" s="192">
        <v>0.69937444051999997</v>
      </c>
      <c r="C73" s="192">
        <v>8.9245309828666596E-3</v>
      </c>
      <c r="D73" s="192">
        <v>0.54957724761999904</v>
      </c>
      <c r="E73" s="192">
        <v>0.58768377177333297</v>
      </c>
      <c r="F73" s="192">
        <v>6.05689067833333E-2</v>
      </c>
      <c r="G73" s="192">
        <v>0.75749813842666602</v>
      </c>
      <c r="H73" s="192">
        <v>2.2695943992666601E-2</v>
      </c>
      <c r="I73" s="192">
        <v>0.110008227673333</v>
      </c>
      <c r="J73" s="192">
        <v>0.69787170409999899</v>
      </c>
      <c r="K73" s="192">
        <v>0.50102818807333305</v>
      </c>
      <c r="L73" s="192">
        <v>0.31126764678000002</v>
      </c>
      <c r="M73" s="192">
        <v>0.60767639922666605</v>
      </c>
      <c r="N73" s="192">
        <v>0.720208017973333</v>
      </c>
      <c r="O73" s="192">
        <v>0.73078283691333301</v>
      </c>
      <c r="P73" s="192">
        <v>0.30673660787333301</v>
      </c>
      <c r="Q73" s="192">
        <v>0.17515424473333299</v>
      </c>
      <c r="R73" s="192">
        <v>8.5449652989333297E-2</v>
      </c>
      <c r="S73" s="192">
        <v>3.8283292294000001E-2</v>
      </c>
      <c r="T73" s="192">
        <v>5.3962393124666601E-2</v>
      </c>
      <c r="U73" s="192">
        <v>0.10276223119</v>
      </c>
      <c r="V73" s="192">
        <v>0.197656492846666</v>
      </c>
      <c r="W73" s="192">
        <v>0.10719644102666601</v>
      </c>
      <c r="X73" s="192">
        <v>8.8874230067333304E-2</v>
      </c>
      <c r="Y73" s="192">
        <v>0.53681029258000001</v>
      </c>
      <c r="Z73" s="192">
        <v>0.17368643442666601</v>
      </c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  <c r="AM73" s="192"/>
      <c r="AN73" s="192"/>
      <c r="AO73" s="192"/>
      <c r="AP73" s="192"/>
      <c r="AQ73" s="192"/>
      <c r="AR73" s="192"/>
      <c r="AS73" s="192"/>
      <c r="AT73" s="192"/>
      <c r="AU73" s="192"/>
      <c r="AV73" s="192"/>
      <c r="AW73" s="192"/>
      <c r="AX73" s="192"/>
      <c r="AY73" s="192"/>
      <c r="AZ73" s="192"/>
      <c r="BA73" s="192"/>
      <c r="BB73" s="192"/>
      <c r="BC73" s="192"/>
      <c r="BD73" s="192"/>
      <c r="BE73" s="192"/>
      <c r="BF73" s="192"/>
      <c r="BG73" s="192"/>
      <c r="BH73" s="192"/>
      <c r="BI73" s="192"/>
      <c r="BJ73" s="192"/>
      <c r="BK73" s="192"/>
      <c r="BL73" s="192"/>
      <c r="BM73" s="192"/>
      <c r="BN73" s="192"/>
      <c r="BO73" s="192"/>
      <c r="BP73" s="192"/>
      <c r="BQ73" s="192"/>
      <c r="BR73" s="192"/>
      <c r="BS73" s="192"/>
      <c r="BT73" s="192"/>
      <c r="BU73" s="192"/>
      <c r="BV73" s="192"/>
      <c r="BW73" s="192"/>
      <c r="BX73" s="192"/>
    </row>
    <row r="74" spans="1:76">
      <c r="A74" s="192">
        <v>700</v>
      </c>
      <c r="B74" s="192">
        <v>0.71014990742666595</v>
      </c>
      <c r="C74" s="192">
        <v>1.2213808616666599E-2</v>
      </c>
      <c r="D74" s="192">
        <v>0.56813603464666595</v>
      </c>
      <c r="E74" s="192">
        <v>0.60502326965333297</v>
      </c>
      <c r="F74" s="192">
        <v>7.0892458281333295E-2</v>
      </c>
      <c r="G74" s="192">
        <v>0.76569256590666601</v>
      </c>
      <c r="H74" s="192">
        <v>2.80594771693333E-2</v>
      </c>
      <c r="I74" s="192">
        <v>0.12480739466</v>
      </c>
      <c r="J74" s="192">
        <v>0.70921159362666597</v>
      </c>
      <c r="K74" s="192">
        <v>0.51892158762666596</v>
      </c>
      <c r="L74" s="192">
        <v>0.331662597666666</v>
      </c>
      <c r="M74" s="192">
        <v>0.62460776010666597</v>
      </c>
      <c r="N74" s="192">
        <v>0.73124370320666598</v>
      </c>
      <c r="O74" s="192">
        <v>0.74103780110666595</v>
      </c>
      <c r="P74" s="192">
        <v>0.32718184153333302</v>
      </c>
      <c r="Q74" s="192">
        <v>0.19307294463999899</v>
      </c>
      <c r="R74" s="192">
        <v>9.8313133865999894E-2</v>
      </c>
      <c r="S74" s="192">
        <v>4.6342567442666599E-2</v>
      </c>
      <c r="T74" s="192">
        <v>6.4009891191999901E-2</v>
      </c>
      <c r="U74" s="192">
        <v>0.11661327553333301</v>
      </c>
      <c r="V74" s="192">
        <v>0.21600193279333299</v>
      </c>
      <c r="W74" s="192">
        <v>0.12156221707333301</v>
      </c>
      <c r="X74" s="192">
        <v>0.102070631664666</v>
      </c>
      <c r="Y74" s="192">
        <v>0.55447700500666597</v>
      </c>
      <c r="Z74" s="192">
        <v>0.19151333618666599</v>
      </c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  <c r="AM74" s="192"/>
      <c r="AN74" s="192"/>
      <c r="AO74" s="192"/>
      <c r="AP74" s="192"/>
      <c r="AQ74" s="192"/>
      <c r="AR74" s="192"/>
      <c r="AS74" s="192"/>
      <c r="AT74" s="192"/>
      <c r="AU74" s="192"/>
      <c r="AV74" s="192"/>
      <c r="AW74" s="192"/>
      <c r="AX74" s="192"/>
      <c r="AY74" s="192"/>
      <c r="AZ74" s="192"/>
      <c r="BA74" s="192"/>
      <c r="BB74" s="192"/>
      <c r="BC74" s="192"/>
      <c r="BD74" s="192"/>
      <c r="BE74" s="192"/>
      <c r="BF74" s="192"/>
      <c r="BG74" s="192"/>
      <c r="BH74" s="192"/>
      <c r="BI74" s="192"/>
      <c r="BJ74" s="192"/>
      <c r="BK74" s="192"/>
      <c r="BL74" s="192"/>
      <c r="BM74" s="192"/>
      <c r="BN74" s="192"/>
      <c r="BO74" s="192"/>
      <c r="BP74" s="192"/>
      <c r="BQ74" s="192"/>
      <c r="BR74" s="192"/>
      <c r="BS74" s="192"/>
      <c r="BT74" s="192"/>
      <c r="BU74" s="192"/>
      <c r="BV74" s="192"/>
      <c r="BW74" s="192"/>
      <c r="BX74" s="192"/>
    </row>
    <row r="75" spans="1:76">
      <c r="A75" s="192">
        <v>705</v>
      </c>
      <c r="B75" s="192">
        <v>0.72224871317333295</v>
      </c>
      <c r="C75" s="192">
        <v>1.4988031705333299E-2</v>
      </c>
      <c r="D75" s="192">
        <v>0.58782920584666598</v>
      </c>
      <c r="E75" s="192">
        <v>0.62317608388000001</v>
      </c>
      <c r="F75" s="192">
        <v>8.2744463602666601E-2</v>
      </c>
      <c r="G75" s="192">
        <v>0.77452048747999902</v>
      </c>
      <c r="H75" s="192">
        <v>3.4340958118666602E-2</v>
      </c>
      <c r="I75" s="192">
        <v>0.14162538399999899</v>
      </c>
      <c r="J75" s="192">
        <v>0.72131289163333301</v>
      </c>
      <c r="K75" s="192">
        <v>0.53847109985999897</v>
      </c>
      <c r="L75" s="192">
        <v>0.35389825186666601</v>
      </c>
      <c r="M75" s="192">
        <v>0.64123106129999896</v>
      </c>
      <c r="N75" s="192">
        <v>0.743174458819999</v>
      </c>
      <c r="O75" s="192">
        <v>0.75189842733333301</v>
      </c>
      <c r="P75" s="192">
        <v>0.349173688246666</v>
      </c>
      <c r="Q75" s="192">
        <v>0.21256916045999999</v>
      </c>
      <c r="R75" s="192">
        <v>0.112917039226666</v>
      </c>
      <c r="S75" s="192">
        <v>5.5402213732000001E-2</v>
      </c>
      <c r="T75" s="192">
        <v>7.5381012916666601E-2</v>
      </c>
      <c r="U75" s="192">
        <v>0.132488494233333</v>
      </c>
      <c r="V75" s="192">
        <v>0.23629580815999901</v>
      </c>
      <c r="W75" s="192">
        <v>0.137876177466666</v>
      </c>
      <c r="X75" s="192">
        <v>0.116778084433333</v>
      </c>
      <c r="Y75" s="192">
        <v>0.57318095145333303</v>
      </c>
      <c r="Z75" s="192">
        <v>0.21186843363333299</v>
      </c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  <c r="AM75" s="192"/>
      <c r="AN75" s="192"/>
      <c r="AO75" s="192"/>
      <c r="AP75" s="192"/>
      <c r="AQ75" s="192"/>
      <c r="AR75" s="192"/>
      <c r="AS75" s="192"/>
      <c r="AT75" s="192"/>
      <c r="AU75" s="192"/>
      <c r="AV75" s="192"/>
      <c r="AW75" s="192"/>
      <c r="AX75" s="192"/>
      <c r="AY75" s="192"/>
      <c r="AZ75" s="192"/>
      <c r="BA75" s="192"/>
      <c r="BB75" s="192"/>
      <c r="BC75" s="192"/>
      <c r="BD75" s="192"/>
      <c r="BE75" s="192"/>
      <c r="BF75" s="192"/>
      <c r="BG75" s="192"/>
      <c r="BH75" s="192"/>
      <c r="BI75" s="192"/>
      <c r="BJ75" s="192"/>
      <c r="BK75" s="192"/>
      <c r="BL75" s="192"/>
      <c r="BM75" s="192"/>
      <c r="BN75" s="192"/>
      <c r="BO75" s="192"/>
      <c r="BP75" s="192"/>
      <c r="BQ75" s="192"/>
      <c r="BR75" s="192"/>
      <c r="BS75" s="192"/>
      <c r="BT75" s="192"/>
      <c r="BU75" s="192"/>
      <c r="BV75" s="192"/>
      <c r="BW75" s="192"/>
      <c r="BX75" s="192"/>
    </row>
    <row r="76" spans="1:76">
      <c r="A76" s="192">
        <v>710</v>
      </c>
      <c r="B76" s="192">
        <v>0.73482508850666595</v>
      </c>
      <c r="C76" s="192">
        <v>2.1628327369999902E-2</v>
      </c>
      <c r="D76" s="192">
        <v>0.60799947357999895</v>
      </c>
      <c r="E76" s="192">
        <v>0.64171740469333305</v>
      </c>
      <c r="F76" s="192">
        <v>9.9547222152000001E-2</v>
      </c>
      <c r="G76" s="192">
        <v>0.78374013772666595</v>
      </c>
      <c r="H76" s="192">
        <v>4.4364161967999902E-2</v>
      </c>
      <c r="I76" s="192">
        <v>0.163072422026666</v>
      </c>
      <c r="J76" s="192">
        <v>0.73354118855333295</v>
      </c>
      <c r="K76" s="192">
        <v>0.5601931483</v>
      </c>
      <c r="L76" s="192">
        <v>0.379220255539999</v>
      </c>
      <c r="M76" s="192">
        <v>0.65935002643999896</v>
      </c>
      <c r="N76" s="192">
        <v>0.75491150919999905</v>
      </c>
      <c r="O76" s="192">
        <v>0.76254666136666605</v>
      </c>
      <c r="P76" s="192">
        <v>0.374858403526666</v>
      </c>
      <c r="Q76" s="192">
        <v>0.237790005993333</v>
      </c>
      <c r="R76" s="192">
        <v>0.13270847448666601</v>
      </c>
      <c r="S76" s="192">
        <v>6.8893946964666594E-2</v>
      </c>
      <c r="T76" s="192">
        <v>9.0946692784666605E-2</v>
      </c>
      <c r="U76" s="192">
        <v>0.15310010337999899</v>
      </c>
      <c r="V76" s="192">
        <v>0.261806938166666</v>
      </c>
      <c r="W76" s="192">
        <v>0.15929177156666599</v>
      </c>
      <c r="X76" s="192">
        <v>0.136445737839999</v>
      </c>
      <c r="Y76" s="192">
        <v>0.59343541972666602</v>
      </c>
      <c r="Z76" s="192">
        <v>0.23608653639999899</v>
      </c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  <c r="AM76" s="192"/>
      <c r="AN76" s="192"/>
      <c r="AO76" s="192"/>
      <c r="AP76" s="192"/>
      <c r="AQ76" s="192"/>
      <c r="AR76" s="192"/>
      <c r="AS76" s="192"/>
      <c r="AT76" s="192"/>
      <c r="AU76" s="192"/>
      <c r="AV76" s="192"/>
      <c r="AW76" s="192"/>
      <c r="AX76" s="192"/>
      <c r="AY76" s="192"/>
      <c r="AZ76" s="192"/>
      <c r="BA76" s="192"/>
      <c r="BB76" s="192"/>
      <c r="BC76" s="192"/>
      <c r="BD76" s="192"/>
      <c r="BE76" s="192"/>
      <c r="BF76" s="192"/>
      <c r="BG76" s="192"/>
      <c r="BH76" s="192"/>
      <c r="BI76" s="192"/>
      <c r="BJ76" s="192"/>
      <c r="BK76" s="192"/>
      <c r="BL76" s="192"/>
      <c r="BM76" s="192"/>
      <c r="BN76" s="192"/>
      <c r="BO76" s="192"/>
      <c r="BP76" s="192"/>
      <c r="BQ76" s="192"/>
      <c r="BR76" s="192"/>
      <c r="BS76" s="192"/>
      <c r="BT76" s="192"/>
      <c r="BU76" s="192"/>
      <c r="BV76" s="192"/>
      <c r="BW76" s="192"/>
      <c r="BX76" s="192"/>
    </row>
    <row r="77" spans="1:76">
      <c r="A77" s="192">
        <v>715</v>
      </c>
      <c r="B77" s="192">
        <v>0.74619039408666599</v>
      </c>
      <c r="C77" s="192">
        <v>2.9115511575999901E-2</v>
      </c>
      <c r="D77" s="192">
        <v>0.62785982259333295</v>
      </c>
      <c r="E77" s="192">
        <v>0.65992977906666594</v>
      </c>
      <c r="F77" s="192">
        <v>0.11843456776</v>
      </c>
      <c r="G77" s="192">
        <v>0.791500432333333</v>
      </c>
      <c r="H77" s="192">
        <v>5.6922389349333302E-2</v>
      </c>
      <c r="I77" s="192">
        <v>0.18641410191999999</v>
      </c>
      <c r="J77" s="192">
        <v>0.74531907653999896</v>
      </c>
      <c r="K77" s="192">
        <v>0.58125045521999896</v>
      </c>
      <c r="L77" s="192">
        <v>0.40617471822666601</v>
      </c>
      <c r="M77" s="192">
        <v>0.67656379190666605</v>
      </c>
      <c r="N77" s="192">
        <v>0.76531263224666601</v>
      </c>
      <c r="O77" s="192">
        <v>0.772235183713333</v>
      </c>
      <c r="P77" s="192">
        <v>0.40157286836</v>
      </c>
      <c r="Q77" s="192">
        <v>0.263679101306666</v>
      </c>
      <c r="R77" s="192">
        <v>0.15438095793333301</v>
      </c>
      <c r="S77" s="192">
        <v>8.4912220637999997E-2</v>
      </c>
      <c r="T77" s="192">
        <v>0.109066351566666</v>
      </c>
      <c r="U77" s="192">
        <v>0.17618778102666599</v>
      </c>
      <c r="V77" s="192">
        <v>0.28858240508666599</v>
      </c>
      <c r="W77" s="192">
        <v>0.182693828586666</v>
      </c>
      <c r="X77" s="192">
        <v>0.15837475203333301</v>
      </c>
      <c r="Y77" s="192">
        <v>0.61349767558000001</v>
      </c>
      <c r="Z77" s="192">
        <v>0.26245000966666598</v>
      </c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  <c r="AM77" s="192"/>
      <c r="AN77" s="192"/>
      <c r="AO77" s="192"/>
      <c r="AP77" s="192"/>
      <c r="AQ77" s="192"/>
      <c r="AR77" s="192"/>
      <c r="AS77" s="192"/>
      <c r="AT77" s="192"/>
      <c r="AU77" s="192"/>
      <c r="AV77" s="192"/>
      <c r="AW77" s="192"/>
      <c r="AX77" s="192"/>
      <c r="AY77" s="192"/>
      <c r="AZ77" s="192"/>
      <c r="BA77" s="192"/>
      <c r="BB77" s="192"/>
      <c r="BC77" s="192"/>
      <c r="BD77" s="192"/>
      <c r="BE77" s="192"/>
      <c r="BF77" s="192"/>
      <c r="BG77" s="192"/>
      <c r="BH77" s="192"/>
      <c r="BI77" s="192"/>
      <c r="BJ77" s="192"/>
      <c r="BK77" s="192"/>
      <c r="BL77" s="192"/>
      <c r="BM77" s="192"/>
      <c r="BN77" s="192"/>
      <c r="BO77" s="192"/>
      <c r="BP77" s="192"/>
      <c r="BQ77" s="192"/>
      <c r="BR77" s="192"/>
      <c r="BS77" s="192"/>
      <c r="BT77" s="192"/>
      <c r="BU77" s="192"/>
      <c r="BV77" s="192"/>
      <c r="BW77" s="192"/>
      <c r="BX77" s="192"/>
    </row>
    <row r="78" spans="1:76">
      <c r="A78" s="192">
        <v>720</v>
      </c>
      <c r="B78" s="192">
        <v>0.75906469725999903</v>
      </c>
      <c r="C78" s="192">
        <v>3.9549982546666598E-2</v>
      </c>
      <c r="D78" s="192">
        <v>0.64908487447333296</v>
      </c>
      <c r="E78" s="192">
        <v>0.67835638937333298</v>
      </c>
      <c r="F78" s="192">
        <v>0.14147027270000001</v>
      </c>
      <c r="G78" s="192">
        <v>0.80077192687999899</v>
      </c>
      <c r="H78" s="192">
        <v>7.2605180421999899E-2</v>
      </c>
      <c r="I78" s="192">
        <v>0.21423457973333301</v>
      </c>
      <c r="J78" s="192">
        <v>0.75806884257333296</v>
      </c>
      <c r="K78" s="192">
        <v>0.60394287617333298</v>
      </c>
      <c r="L78" s="192">
        <v>0.43518963114666598</v>
      </c>
      <c r="M78" s="192">
        <v>0.69464396159333297</v>
      </c>
      <c r="N78" s="192">
        <v>0.77698014830666595</v>
      </c>
      <c r="O78" s="192">
        <v>0.78308441670666595</v>
      </c>
      <c r="P78" s="192">
        <v>0.431059600826666</v>
      </c>
      <c r="Q78" s="192">
        <v>0.29376700210000001</v>
      </c>
      <c r="R78" s="192">
        <v>0.18019849396000001</v>
      </c>
      <c r="S78" s="192">
        <v>0.104647752759333</v>
      </c>
      <c r="T78" s="192">
        <v>0.13110808307999999</v>
      </c>
      <c r="U78" s="192">
        <v>0.20270285797333301</v>
      </c>
      <c r="V78" s="192">
        <v>0.31856768798666601</v>
      </c>
      <c r="W78" s="192">
        <v>0.20961552047999901</v>
      </c>
      <c r="X78" s="192">
        <v>0.18420331063999901</v>
      </c>
      <c r="Y78" s="192">
        <v>0.63472635142</v>
      </c>
      <c r="Z78" s="192">
        <v>0.29262639998666601</v>
      </c>
      <c r="AA78" s="192"/>
      <c r="AB78" s="192"/>
      <c r="AC78" s="192"/>
      <c r="AD78" s="192"/>
      <c r="AE78" s="192"/>
      <c r="AF78" s="192"/>
      <c r="AG78" s="192"/>
      <c r="AH78" s="192"/>
      <c r="AI78" s="192"/>
      <c r="AJ78" s="192"/>
      <c r="AK78" s="192"/>
      <c r="AL78" s="192"/>
      <c r="AM78" s="192"/>
      <c r="AN78" s="192"/>
      <c r="AO78" s="192"/>
      <c r="AP78" s="192"/>
      <c r="AQ78" s="192"/>
      <c r="AR78" s="192"/>
      <c r="AS78" s="192"/>
      <c r="AT78" s="192"/>
      <c r="AU78" s="192"/>
      <c r="AV78" s="192"/>
      <c r="AW78" s="192"/>
      <c r="AX78" s="192"/>
      <c r="AY78" s="192"/>
      <c r="AZ78" s="192"/>
      <c r="BA78" s="192"/>
      <c r="BB78" s="192"/>
      <c r="BC78" s="192"/>
      <c r="BD78" s="192"/>
      <c r="BE78" s="192"/>
      <c r="BF78" s="192"/>
      <c r="BG78" s="192"/>
      <c r="BH78" s="192"/>
      <c r="BI78" s="192"/>
      <c r="BJ78" s="192"/>
      <c r="BK78" s="192"/>
      <c r="BL78" s="192"/>
      <c r="BM78" s="192"/>
      <c r="BN78" s="192"/>
      <c r="BO78" s="192"/>
      <c r="BP78" s="192"/>
      <c r="BQ78" s="192"/>
      <c r="BR78" s="192"/>
      <c r="BS78" s="192"/>
      <c r="BT78" s="192"/>
      <c r="BU78" s="192"/>
      <c r="BV78" s="192"/>
      <c r="BW78" s="192"/>
      <c r="BX78" s="192"/>
    </row>
    <row r="79" spans="1:76">
      <c r="A79" s="192">
        <v>725</v>
      </c>
      <c r="B79" s="192">
        <v>0.77165055338666599</v>
      </c>
      <c r="C79" s="192">
        <v>5.3193361599999898E-2</v>
      </c>
      <c r="D79" s="192">
        <v>0.66962787882666597</v>
      </c>
      <c r="E79" s="192">
        <v>0.69716558836666598</v>
      </c>
      <c r="F79" s="192">
        <v>0.16805046780666599</v>
      </c>
      <c r="G79" s="192">
        <v>0.80923987323333302</v>
      </c>
      <c r="H79" s="192">
        <v>9.2071921667333301E-2</v>
      </c>
      <c r="I79" s="192">
        <v>0.24513401031333301</v>
      </c>
      <c r="J79" s="192">
        <v>0.77065286255333298</v>
      </c>
      <c r="K79" s="192">
        <v>0.62766051229333297</v>
      </c>
      <c r="L79" s="192">
        <v>0.46638052114666601</v>
      </c>
      <c r="M79" s="192">
        <v>0.71254131570666601</v>
      </c>
      <c r="N79" s="192">
        <v>0.78811476135999903</v>
      </c>
      <c r="O79" s="192">
        <v>0.79329664103333297</v>
      </c>
      <c r="P79" s="192">
        <v>0.46161567687999899</v>
      </c>
      <c r="Q79" s="192">
        <v>0.32601174927333298</v>
      </c>
      <c r="R79" s="192">
        <v>0.20980093255333301</v>
      </c>
      <c r="S79" s="192">
        <v>0.12827468808666601</v>
      </c>
      <c r="T79" s="192">
        <v>0.15738080596666601</v>
      </c>
      <c r="U79" s="192">
        <v>0.23326778412666599</v>
      </c>
      <c r="V79" s="192">
        <v>0.35117382812666598</v>
      </c>
      <c r="W79" s="192">
        <v>0.24041707738000001</v>
      </c>
      <c r="X79" s="192">
        <v>0.21380823261333301</v>
      </c>
      <c r="Y79" s="192">
        <v>0.65606967162666596</v>
      </c>
      <c r="Z79" s="192">
        <v>0.32516391881333301</v>
      </c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92"/>
      <c r="AM79" s="192"/>
      <c r="AN79" s="192"/>
      <c r="AO79" s="192"/>
      <c r="AP79" s="192"/>
      <c r="AQ79" s="192"/>
      <c r="AR79" s="192"/>
      <c r="AS79" s="192"/>
      <c r="AT79" s="192"/>
      <c r="AU79" s="192"/>
      <c r="AV79" s="192"/>
      <c r="AW79" s="192"/>
      <c r="AX79" s="192"/>
      <c r="AY79" s="192"/>
      <c r="AZ79" s="192"/>
      <c r="BA79" s="192"/>
      <c r="BB79" s="192"/>
      <c r="BC79" s="192"/>
      <c r="BD79" s="192"/>
      <c r="BE79" s="192"/>
      <c r="BF79" s="192"/>
      <c r="BG79" s="192"/>
      <c r="BH79" s="192"/>
      <c r="BI79" s="192"/>
      <c r="BJ79" s="192"/>
      <c r="BK79" s="192"/>
      <c r="BL79" s="192"/>
      <c r="BM79" s="192"/>
      <c r="BN79" s="192"/>
      <c r="BO79" s="192"/>
      <c r="BP79" s="192"/>
      <c r="BQ79" s="192"/>
      <c r="BR79" s="192"/>
      <c r="BS79" s="192"/>
      <c r="BT79" s="192"/>
      <c r="BU79" s="192"/>
      <c r="BV79" s="192"/>
      <c r="BW79" s="192"/>
      <c r="BX79" s="192"/>
    </row>
    <row r="80" spans="1:76">
      <c r="A80" s="192">
        <v>730</v>
      </c>
      <c r="B80" s="192">
        <v>0.78419855752666601</v>
      </c>
      <c r="C80" s="192">
        <v>7.0929243086666593E-2</v>
      </c>
      <c r="D80" s="192">
        <v>0.69067778015333303</v>
      </c>
      <c r="E80" s="192">
        <v>0.71600635274666602</v>
      </c>
      <c r="F80" s="192">
        <v>0.19912370935999901</v>
      </c>
      <c r="G80" s="192">
        <v>0.81827946980666599</v>
      </c>
      <c r="H80" s="192">
        <v>0.115921364453333</v>
      </c>
      <c r="I80" s="192">
        <v>0.279522981006666</v>
      </c>
      <c r="J80" s="192">
        <v>0.78323383584666595</v>
      </c>
      <c r="K80" s="192">
        <v>0.65104420724666601</v>
      </c>
      <c r="L80" s="192">
        <v>0.49861914569999999</v>
      </c>
      <c r="M80" s="192">
        <v>0.73001528930000004</v>
      </c>
      <c r="N80" s="192">
        <v>0.79898229982000002</v>
      </c>
      <c r="O80" s="192">
        <v>0.80350136312666598</v>
      </c>
      <c r="P80" s="192">
        <v>0.49375853983999901</v>
      </c>
      <c r="Q80" s="192">
        <v>0.36155501301333298</v>
      </c>
      <c r="R80" s="192">
        <v>0.24293954848666599</v>
      </c>
      <c r="S80" s="192">
        <v>0.15630581156000001</v>
      </c>
      <c r="T80" s="192">
        <v>0.188005378713333</v>
      </c>
      <c r="U80" s="192">
        <v>0.26715089543999998</v>
      </c>
      <c r="V80" s="192">
        <v>0.386169530239999</v>
      </c>
      <c r="W80" s="192">
        <v>0.27478836949999902</v>
      </c>
      <c r="X80" s="192">
        <v>0.24732428106666601</v>
      </c>
      <c r="Y80" s="192">
        <v>0.67812297056666604</v>
      </c>
      <c r="Z80" s="192">
        <v>0.35973781586666598</v>
      </c>
      <c r="AA80" s="192"/>
      <c r="AB80" s="192"/>
      <c r="AC80" s="192"/>
      <c r="AD80" s="192"/>
      <c r="AE80" s="192"/>
      <c r="AF80" s="192"/>
      <c r="AG80" s="192"/>
      <c r="AH80" s="192"/>
      <c r="AI80" s="192"/>
      <c r="AJ80" s="192"/>
      <c r="AK80" s="192"/>
      <c r="AL80" s="192"/>
      <c r="AM80" s="192"/>
      <c r="AN80" s="192"/>
      <c r="AO80" s="192"/>
      <c r="AP80" s="192"/>
      <c r="AQ80" s="192"/>
      <c r="AR80" s="192"/>
      <c r="AS80" s="192"/>
      <c r="AT80" s="192"/>
      <c r="AU80" s="192"/>
      <c r="AV80" s="192"/>
      <c r="AW80" s="192"/>
      <c r="AX80" s="192"/>
      <c r="AY80" s="192"/>
      <c r="AZ80" s="192"/>
      <c r="BA80" s="192"/>
      <c r="BB80" s="192"/>
      <c r="BC80" s="192"/>
      <c r="BD80" s="192"/>
      <c r="BE80" s="192"/>
      <c r="BF80" s="192"/>
      <c r="BG80" s="192"/>
      <c r="BH80" s="192"/>
      <c r="BI80" s="192"/>
      <c r="BJ80" s="192"/>
      <c r="BK80" s="192"/>
      <c r="BL80" s="192"/>
      <c r="BM80" s="192"/>
      <c r="BN80" s="192"/>
      <c r="BO80" s="192"/>
      <c r="BP80" s="192"/>
      <c r="BQ80" s="192"/>
      <c r="BR80" s="192"/>
      <c r="BS80" s="192"/>
      <c r="BT80" s="192"/>
      <c r="BU80" s="192"/>
      <c r="BV80" s="192"/>
      <c r="BW80" s="192"/>
      <c r="BX80" s="192"/>
    </row>
    <row r="81" spans="1:76">
      <c r="A81" s="192">
        <v>735</v>
      </c>
      <c r="B81" s="192">
        <v>0.79558898417333301</v>
      </c>
      <c r="C81" s="192">
        <v>9.3238766989999999E-2</v>
      </c>
      <c r="D81" s="192">
        <v>0.71010156757333298</v>
      </c>
      <c r="E81" s="192">
        <v>0.73317562357999999</v>
      </c>
      <c r="F81" s="192">
        <v>0.234060976646666</v>
      </c>
      <c r="G81" s="192">
        <v>0.82574140421333297</v>
      </c>
      <c r="H81" s="192">
        <v>0.144252171839999</v>
      </c>
      <c r="I81" s="192">
        <v>0.31594937133333301</v>
      </c>
      <c r="J81" s="192">
        <v>0.79457344562666599</v>
      </c>
      <c r="K81" s="192">
        <v>0.67370599874666603</v>
      </c>
      <c r="L81" s="192">
        <v>0.53025046031333301</v>
      </c>
      <c r="M81" s="192">
        <v>0.74628085327333304</v>
      </c>
      <c r="N81" s="192">
        <v>0.80829696654000005</v>
      </c>
      <c r="O81" s="192">
        <v>0.81265394083333298</v>
      </c>
      <c r="P81" s="192">
        <v>0.52596770731333298</v>
      </c>
      <c r="Q81" s="192">
        <v>0.39781330109333302</v>
      </c>
      <c r="R81" s="192">
        <v>0.27927863820666599</v>
      </c>
      <c r="S81" s="192">
        <v>0.18823491540000001</v>
      </c>
      <c r="T81" s="192">
        <v>0.22180180487333301</v>
      </c>
      <c r="U81" s="192">
        <v>0.30396271897333299</v>
      </c>
      <c r="V81" s="192">
        <v>0.42188185627999902</v>
      </c>
      <c r="W81" s="192">
        <v>0.31151740772666597</v>
      </c>
      <c r="X81" s="192">
        <v>0.28367387263333299</v>
      </c>
      <c r="Y81" s="192">
        <v>0.69810567727999995</v>
      </c>
      <c r="Z81" s="192">
        <v>0.39619958496666602</v>
      </c>
      <c r="AA81" s="192"/>
      <c r="AB81" s="192"/>
      <c r="AC81" s="192"/>
      <c r="AD81" s="192"/>
      <c r="AE81" s="192"/>
      <c r="AF81" s="192"/>
      <c r="AG81" s="192"/>
      <c r="AH81" s="192"/>
      <c r="AI81" s="192"/>
      <c r="AJ81" s="192"/>
      <c r="AK81" s="192"/>
      <c r="AL81" s="192"/>
      <c r="AM81" s="192"/>
      <c r="AN81" s="192"/>
      <c r="AO81" s="192"/>
      <c r="AP81" s="192"/>
      <c r="AQ81" s="192"/>
      <c r="AR81" s="192"/>
      <c r="AS81" s="192"/>
      <c r="AT81" s="192"/>
      <c r="AU81" s="192"/>
      <c r="AV81" s="192"/>
      <c r="AW81" s="192"/>
      <c r="AX81" s="192"/>
      <c r="AY81" s="192"/>
      <c r="AZ81" s="192"/>
      <c r="BA81" s="192"/>
      <c r="BB81" s="192"/>
      <c r="BC81" s="192"/>
      <c r="BD81" s="192"/>
      <c r="BE81" s="192"/>
      <c r="BF81" s="192"/>
      <c r="BG81" s="192"/>
      <c r="BH81" s="192"/>
      <c r="BI81" s="192"/>
      <c r="BJ81" s="192"/>
      <c r="BK81" s="192"/>
      <c r="BL81" s="192"/>
      <c r="BM81" s="192"/>
      <c r="BN81" s="192"/>
      <c r="BO81" s="192"/>
      <c r="BP81" s="192"/>
      <c r="BQ81" s="192"/>
      <c r="BR81" s="192"/>
      <c r="BS81" s="192"/>
      <c r="BT81" s="192"/>
      <c r="BU81" s="192"/>
      <c r="BV81" s="192"/>
      <c r="BW81" s="192"/>
      <c r="BX81" s="192"/>
    </row>
    <row r="82" spans="1:76">
      <c r="A82" s="192">
        <v>740</v>
      </c>
      <c r="B82" s="192">
        <v>0.80604437256666595</v>
      </c>
      <c r="C82" s="192">
        <v>0.118850732166666</v>
      </c>
      <c r="D82" s="192">
        <v>0.72793574523999904</v>
      </c>
      <c r="E82" s="192">
        <v>0.74934446715333303</v>
      </c>
      <c r="F82" s="192">
        <v>0.27041506704666601</v>
      </c>
      <c r="G82" s="192">
        <v>0.832036738073333</v>
      </c>
      <c r="H82" s="192">
        <v>0.17508275986666599</v>
      </c>
      <c r="I82" s="192">
        <v>0.353942774446666</v>
      </c>
      <c r="J82" s="192">
        <v>0.80503355915999897</v>
      </c>
      <c r="K82" s="192">
        <v>0.69443552651999996</v>
      </c>
      <c r="L82" s="192">
        <v>0.56117373403333304</v>
      </c>
      <c r="M82" s="192">
        <v>0.76147311909333304</v>
      </c>
      <c r="N82" s="192">
        <v>0.81701085916666605</v>
      </c>
      <c r="O82" s="192">
        <v>0.82070560201333298</v>
      </c>
      <c r="P82" s="192">
        <v>0.55733852131999995</v>
      </c>
      <c r="Q82" s="192">
        <v>0.43461722310000001</v>
      </c>
      <c r="R82" s="192">
        <v>0.31692388662666598</v>
      </c>
      <c r="S82" s="192">
        <v>0.22255503844666599</v>
      </c>
      <c r="T82" s="192">
        <v>0.25830629348666601</v>
      </c>
      <c r="U82" s="192">
        <v>0.34142319488</v>
      </c>
      <c r="V82" s="192">
        <v>0.45773811341333298</v>
      </c>
      <c r="W82" s="192">
        <v>0.34917105864666598</v>
      </c>
      <c r="X82" s="192">
        <v>0.320909942633333</v>
      </c>
      <c r="Y82" s="192">
        <v>0.717028386439999</v>
      </c>
      <c r="Z82" s="192">
        <v>0.43285045623999902</v>
      </c>
      <c r="AA82" s="192"/>
      <c r="AB82" s="192"/>
      <c r="AC82" s="192"/>
      <c r="AD82" s="192"/>
      <c r="AE82" s="192"/>
      <c r="AF82" s="192"/>
      <c r="AG82" s="192"/>
      <c r="AH82" s="192"/>
      <c r="AI82" s="192"/>
      <c r="AJ82" s="192"/>
      <c r="AK82" s="192"/>
      <c r="AL82" s="192"/>
      <c r="AM82" s="192"/>
      <c r="AN82" s="192"/>
      <c r="AO82" s="192"/>
      <c r="AP82" s="192"/>
      <c r="AQ82" s="192"/>
      <c r="AR82" s="192"/>
      <c r="AS82" s="192"/>
      <c r="AT82" s="192"/>
      <c r="AU82" s="192"/>
      <c r="AV82" s="192"/>
      <c r="AW82" s="192"/>
      <c r="AX82" s="192"/>
      <c r="AY82" s="192"/>
      <c r="AZ82" s="192"/>
      <c r="BA82" s="192"/>
      <c r="BB82" s="192"/>
      <c r="BC82" s="192"/>
      <c r="BD82" s="192"/>
      <c r="BE82" s="192"/>
      <c r="BF82" s="192"/>
      <c r="BG82" s="192"/>
      <c r="BH82" s="192"/>
      <c r="BI82" s="192"/>
      <c r="BJ82" s="192"/>
      <c r="BK82" s="192"/>
      <c r="BL82" s="192"/>
      <c r="BM82" s="192"/>
      <c r="BN82" s="192"/>
      <c r="BO82" s="192"/>
      <c r="BP82" s="192"/>
      <c r="BQ82" s="192"/>
      <c r="BR82" s="192"/>
      <c r="BS82" s="192"/>
      <c r="BT82" s="192"/>
      <c r="BU82" s="192"/>
      <c r="BV82" s="192"/>
      <c r="BW82" s="192"/>
      <c r="BX82" s="192"/>
    </row>
    <row r="83" spans="1:76">
      <c r="A83" s="192">
        <v>745</v>
      </c>
      <c r="B83" s="192">
        <v>0.81763500467333305</v>
      </c>
      <c r="C83" s="192">
        <v>0.15208472571333301</v>
      </c>
      <c r="D83" s="192">
        <v>0.74709211222000005</v>
      </c>
      <c r="E83" s="192">
        <v>0.76596108500666604</v>
      </c>
      <c r="F83" s="192">
        <v>0.31242107518000001</v>
      </c>
      <c r="G83" s="192">
        <v>0.84016717021333298</v>
      </c>
      <c r="H83" s="192">
        <v>0.213444751753333</v>
      </c>
      <c r="I83" s="192">
        <v>0.39558170572000001</v>
      </c>
      <c r="J83" s="192">
        <v>0.81637849426666598</v>
      </c>
      <c r="K83" s="192">
        <v>0.71683305866666602</v>
      </c>
      <c r="L83" s="192">
        <v>0.59395714823333301</v>
      </c>
      <c r="M83" s="192">
        <v>0.77705030821999899</v>
      </c>
      <c r="N83" s="192">
        <v>0.82698217263999896</v>
      </c>
      <c r="O83" s="192">
        <v>0.829969777426666</v>
      </c>
      <c r="P83" s="192">
        <v>0.59002056884666598</v>
      </c>
      <c r="Q83" s="192">
        <v>0.47350625103333299</v>
      </c>
      <c r="R83" s="192">
        <v>0.35873956553333303</v>
      </c>
      <c r="S83" s="192">
        <v>0.26333832804666601</v>
      </c>
      <c r="T83" s="192">
        <v>0.29976593398666601</v>
      </c>
      <c r="U83" s="192">
        <v>0.38286710612666602</v>
      </c>
      <c r="V83" s="192">
        <v>0.49589530181999902</v>
      </c>
      <c r="W83" s="192">
        <v>0.39071121724000002</v>
      </c>
      <c r="X83" s="192">
        <v>0.36287973276666602</v>
      </c>
      <c r="Y83" s="192">
        <v>0.73770576985333303</v>
      </c>
      <c r="Z83" s="192">
        <v>0.47177412159999899</v>
      </c>
      <c r="AA83" s="192"/>
      <c r="AB83" s="192"/>
      <c r="AC83" s="192"/>
      <c r="AD83" s="192"/>
      <c r="AE83" s="192"/>
      <c r="AF83" s="192"/>
      <c r="AG83" s="192"/>
      <c r="AH83" s="192"/>
      <c r="AI83" s="192"/>
      <c r="AJ83" s="192"/>
      <c r="AK83" s="192"/>
      <c r="AL83" s="192"/>
      <c r="AM83" s="192"/>
      <c r="AN83" s="192"/>
      <c r="AO83" s="192"/>
      <c r="AP83" s="192"/>
      <c r="AQ83" s="192"/>
      <c r="AR83" s="192"/>
      <c r="AS83" s="192"/>
      <c r="AT83" s="192"/>
      <c r="AU83" s="192"/>
      <c r="AV83" s="192"/>
      <c r="AW83" s="192"/>
      <c r="AX83" s="192"/>
      <c r="AY83" s="192"/>
      <c r="AZ83" s="192"/>
      <c r="BA83" s="192"/>
      <c r="BB83" s="192"/>
      <c r="BC83" s="192"/>
      <c r="BD83" s="192"/>
      <c r="BE83" s="192"/>
      <c r="BF83" s="192"/>
      <c r="BG83" s="192"/>
      <c r="BH83" s="192"/>
      <c r="BI83" s="192"/>
      <c r="BJ83" s="192"/>
      <c r="BK83" s="192"/>
      <c r="BL83" s="192"/>
      <c r="BM83" s="192"/>
      <c r="BN83" s="192"/>
      <c r="BO83" s="192"/>
      <c r="BP83" s="192"/>
      <c r="BQ83" s="192"/>
      <c r="BR83" s="192"/>
      <c r="BS83" s="192"/>
      <c r="BT83" s="192"/>
      <c r="BU83" s="192"/>
      <c r="BV83" s="192"/>
      <c r="BW83" s="192"/>
      <c r="BX83" s="192"/>
    </row>
    <row r="84" spans="1:76">
      <c r="A84" s="192">
        <v>750</v>
      </c>
      <c r="B84" s="192">
        <v>0.82779908752666598</v>
      </c>
      <c r="C84" s="192">
        <v>0.189404421473333</v>
      </c>
      <c r="D84" s="192">
        <v>0.76431989034666603</v>
      </c>
      <c r="E84" s="192">
        <v>0.78111980692000005</v>
      </c>
      <c r="F84" s="192">
        <v>0.355586558026666</v>
      </c>
      <c r="G84" s="192">
        <v>0.84728948974666596</v>
      </c>
      <c r="H84" s="192">
        <v>0.25488982644666602</v>
      </c>
      <c r="I84" s="192">
        <v>0.437346318573333</v>
      </c>
      <c r="J84" s="192">
        <v>0.82618531290666597</v>
      </c>
      <c r="K84" s="192">
        <v>0.737714665733333</v>
      </c>
      <c r="L84" s="192">
        <v>0.62503203837333299</v>
      </c>
      <c r="M84" s="192">
        <v>0.79189726765333301</v>
      </c>
      <c r="N84" s="192">
        <v>0.835908355713333</v>
      </c>
      <c r="O84" s="192">
        <v>0.83806861877999905</v>
      </c>
      <c r="P84" s="192">
        <v>0.62144708252000003</v>
      </c>
      <c r="Q84" s="192">
        <v>0.51282828522666601</v>
      </c>
      <c r="R84" s="192">
        <v>0.401500892646666</v>
      </c>
      <c r="S84" s="192">
        <v>0.30601184845333301</v>
      </c>
      <c r="T84" s="192">
        <v>0.34274710336666597</v>
      </c>
      <c r="U84" s="192">
        <v>0.42587539164666599</v>
      </c>
      <c r="V84" s="192">
        <v>0.53381423695333297</v>
      </c>
      <c r="W84" s="192">
        <v>0.43252329508666598</v>
      </c>
      <c r="X84" s="192">
        <v>0.40603920999999898</v>
      </c>
      <c r="Y84" s="192">
        <v>0.75560345967333298</v>
      </c>
      <c r="Z84" s="192">
        <v>0.51063262176666602</v>
      </c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  <c r="AM84" s="192"/>
      <c r="AN84" s="192"/>
      <c r="AO84" s="192"/>
      <c r="AP84" s="192"/>
      <c r="AQ84" s="192"/>
      <c r="AR84" s="192"/>
      <c r="AS84" s="192"/>
      <c r="AT84" s="192"/>
      <c r="AU84" s="192"/>
      <c r="AV84" s="192"/>
      <c r="AW84" s="192"/>
      <c r="AX84" s="192"/>
      <c r="AY84" s="192"/>
      <c r="AZ84" s="192"/>
      <c r="BA84" s="192"/>
      <c r="BB84" s="192"/>
      <c r="BC84" s="192"/>
      <c r="BD84" s="192"/>
      <c r="BE84" s="192"/>
      <c r="BF84" s="192"/>
      <c r="BG84" s="192"/>
      <c r="BH84" s="192"/>
      <c r="BI84" s="192"/>
      <c r="BJ84" s="192"/>
      <c r="BK84" s="192"/>
      <c r="BL84" s="192"/>
      <c r="BM84" s="192"/>
      <c r="BN84" s="192"/>
      <c r="BO84" s="192"/>
      <c r="BP84" s="192"/>
      <c r="BQ84" s="192"/>
      <c r="BR84" s="192"/>
      <c r="BS84" s="192"/>
      <c r="BT84" s="192"/>
      <c r="BU84" s="192"/>
      <c r="BV84" s="192"/>
      <c r="BW84" s="192"/>
      <c r="BX84" s="192"/>
    </row>
    <row r="85" spans="1:76">
      <c r="A85" s="192">
        <v>755</v>
      </c>
      <c r="B85" s="192">
        <v>0.83730581155333295</v>
      </c>
      <c r="C85" s="192">
        <v>0.23319826125333301</v>
      </c>
      <c r="D85" s="192">
        <v>0.78071925353999905</v>
      </c>
      <c r="E85" s="192">
        <v>0.795473887113333</v>
      </c>
      <c r="F85" s="192">
        <v>0.40183349355333298</v>
      </c>
      <c r="G85" s="192">
        <v>0.85345085651999997</v>
      </c>
      <c r="H85" s="192">
        <v>0.30063527425999997</v>
      </c>
      <c r="I85" s="192">
        <v>0.48032268778666598</v>
      </c>
      <c r="J85" s="192">
        <v>0.83605286153333302</v>
      </c>
      <c r="K85" s="192">
        <v>0.75681196086666602</v>
      </c>
      <c r="L85" s="192">
        <v>0.65554486083333297</v>
      </c>
      <c r="M85" s="192">
        <v>0.80472405495333299</v>
      </c>
      <c r="N85" s="192">
        <v>0.84388945006666605</v>
      </c>
      <c r="O85" s="192">
        <v>0.84535485330666604</v>
      </c>
      <c r="P85" s="192">
        <v>0.65197805786666596</v>
      </c>
      <c r="Q85" s="192">
        <v>0.55131974538666595</v>
      </c>
      <c r="R85" s="192">
        <v>0.44670852153333301</v>
      </c>
      <c r="S85" s="192">
        <v>0.35263769276666601</v>
      </c>
      <c r="T85" s="192">
        <v>0.38966475168666598</v>
      </c>
      <c r="U85" s="192">
        <v>0.46925053915999998</v>
      </c>
      <c r="V85" s="192">
        <v>0.57121963755333305</v>
      </c>
      <c r="W85" s="192">
        <v>0.47608015950666599</v>
      </c>
      <c r="X85" s="192">
        <v>0.45030003612000002</v>
      </c>
      <c r="Y85" s="192">
        <v>0.77345061239333301</v>
      </c>
      <c r="Z85" s="192">
        <v>0.54930450693333299</v>
      </c>
      <c r="AA85" s="192"/>
      <c r="AB85" s="192"/>
      <c r="AC85" s="192"/>
      <c r="AD85" s="192"/>
      <c r="AE85" s="192"/>
      <c r="AF85" s="192"/>
      <c r="AG85" s="192"/>
      <c r="AH85" s="192"/>
      <c r="AI85" s="192"/>
      <c r="AJ85" s="192"/>
      <c r="AK85" s="192"/>
      <c r="AL85" s="192"/>
      <c r="AM85" s="192"/>
      <c r="AN85" s="192"/>
      <c r="AO85" s="192"/>
      <c r="AP85" s="192"/>
      <c r="AQ85" s="192"/>
      <c r="AR85" s="192"/>
      <c r="AS85" s="192"/>
      <c r="AT85" s="192"/>
      <c r="AU85" s="192"/>
      <c r="AV85" s="192"/>
      <c r="AW85" s="192"/>
      <c r="AX85" s="192"/>
      <c r="AY85" s="192"/>
      <c r="AZ85" s="192"/>
      <c r="BA85" s="192"/>
      <c r="BB85" s="192"/>
      <c r="BC85" s="192"/>
      <c r="BD85" s="192"/>
      <c r="BE85" s="192"/>
      <c r="BF85" s="192"/>
      <c r="BG85" s="192"/>
      <c r="BH85" s="192"/>
      <c r="BI85" s="192"/>
      <c r="BJ85" s="192"/>
      <c r="BK85" s="192"/>
      <c r="BL85" s="192"/>
      <c r="BM85" s="192"/>
      <c r="BN85" s="192"/>
      <c r="BO85" s="192"/>
      <c r="BP85" s="192"/>
      <c r="BQ85" s="192"/>
      <c r="BR85" s="192"/>
      <c r="BS85" s="192"/>
      <c r="BT85" s="192"/>
      <c r="BU85" s="192"/>
      <c r="BV85" s="192"/>
      <c r="BW85" s="192"/>
      <c r="BX85" s="192"/>
    </row>
    <row r="86" spans="1:76">
      <c r="A86" s="192">
        <v>760</v>
      </c>
      <c r="B86" s="192">
        <v>0.845790827426666</v>
      </c>
      <c r="C86" s="192">
        <v>0.28035633977333302</v>
      </c>
      <c r="D86" s="192">
        <v>0.79472596232000003</v>
      </c>
      <c r="E86" s="192">
        <v>0.80848492940000005</v>
      </c>
      <c r="F86" s="192">
        <v>0.44818555195333298</v>
      </c>
      <c r="G86" s="192">
        <v>0.85950148011333305</v>
      </c>
      <c r="H86" s="192">
        <v>0.34838107808666602</v>
      </c>
      <c r="I86" s="192">
        <v>0.52249888609999995</v>
      </c>
      <c r="J86" s="192">
        <v>0.84464443970666603</v>
      </c>
      <c r="K86" s="192">
        <v>0.77468633525333297</v>
      </c>
      <c r="L86" s="192">
        <v>0.68382563272666597</v>
      </c>
      <c r="M86" s="192">
        <v>0.81666611734666605</v>
      </c>
      <c r="N86" s="192">
        <v>0.85089591470000003</v>
      </c>
      <c r="O86" s="192">
        <v>0.85277552287333303</v>
      </c>
      <c r="P86" s="192">
        <v>0.68052466838000003</v>
      </c>
      <c r="Q86" s="192">
        <v>0.58900425974000004</v>
      </c>
      <c r="R86" s="192">
        <v>0.49011386616666602</v>
      </c>
      <c r="S86" s="192">
        <v>0.400075345353333</v>
      </c>
      <c r="T86" s="192">
        <v>0.43570065561999999</v>
      </c>
      <c r="U86" s="192">
        <v>0.512207153319999</v>
      </c>
      <c r="V86" s="192">
        <v>0.60700876109333302</v>
      </c>
      <c r="W86" s="192">
        <v>0.51823571776666599</v>
      </c>
      <c r="X86" s="192">
        <v>0.49445587157999998</v>
      </c>
      <c r="Y86" s="192">
        <v>0.78886857605333305</v>
      </c>
      <c r="Z86" s="192">
        <v>0.58620090993333296</v>
      </c>
      <c r="AA86" s="192"/>
      <c r="AB86" s="192"/>
      <c r="AC86" s="192"/>
      <c r="AD86" s="192"/>
      <c r="AE86" s="192"/>
      <c r="AF86" s="192"/>
      <c r="AG86" s="192"/>
      <c r="AH86" s="192"/>
      <c r="AI86" s="192"/>
      <c r="AJ86" s="192"/>
      <c r="AK86" s="192"/>
      <c r="AL86" s="192"/>
      <c r="AM86" s="192"/>
      <c r="AN86" s="192"/>
      <c r="AO86" s="192"/>
      <c r="AP86" s="192"/>
      <c r="AQ86" s="192"/>
      <c r="AR86" s="192"/>
      <c r="AS86" s="192"/>
      <c r="AT86" s="192"/>
      <c r="AU86" s="192"/>
      <c r="AV86" s="192"/>
      <c r="AW86" s="192"/>
      <c r="AX86" s="192"/>
      <c r="AY86" s="192"/>
      <c r="AZ86" s="192"/>
      <c r="BA86" s="192"/>
      <c r="BB86" s="192"/>
      <c r="BC86" s="192"/>
      <c r="BD86" s="192"/>
      <c r="BE86" s="192"/>
      <c r="BF86" s="192"/>
      <c r="BG86" s="192"/>
      <c r="BH86" s="192"/>
      <c r="BI86" s="192"/>
      <c r="BJ86" s="192"/>
      <c r="BK86" s="192"/>
      <c r="BL86" s="192"/>
      <c r="BM86" s="192"/>
      <c r="BN86" s="192"/>
      <c r="BO86" s="192"/>
      <c r="BP86" s="192"/>
      <c r="BQ86" s="192"/>
      <c r="BR86" s="192"/>
      <c r="BS86" s="192"/>
      <c r="BT86" s="192"/>
      <c r="BU86" s="192"/>
      <c r="BV86" s="192"/>
      <c r="BW86" s="192"/>
      <c r="BX86" s="192"/>
    </row>
    <row r="87" spans="1:76">
      <c r="A87" s="192">
        <v>765</v>
      </c>
      <c r="B87" s="192">
        <v>0.85290358480666595</v>
      </c>
      <c r="C87" s="192">
        <v>0.32908343124</v>
      </c>
      <c r="D87" s="192">
        <v>0.80770216368666603</v>
      </c>
      <c r="E87" s="192">
        <v>0.81898002115333302</v>
      </c>
      <c r="F87" s="192">
        <v>0.493255505886666</v>
      </c>
      <c r="G87" s="192">
        <v>0.86373049419999903</v>
      </c>
      <c r="H87" s="192">
        <v>0.39722668456666599</v>
      </c>
      <c r="I87" s="192">
        <v>0.56220275371333295</v>
      </c>
      <c r="J87" s="192">
        <v>0.85245618184666605</v>
      </c>
      <c r="K87" s="192">
        <v>0.79064222716666599</v>
      </c>
      <c r="L87" s="192">
        <v>0.71025419107333299</v>
      </c>
      <c r="M87" s="192">
        <v>0.82754088845999996</v>
      </c>
      <c r="N87" s="192">
        <v>0.85656868997999902</v>
      </c>
      <c r="O87" s="192">
        <v>0.85780547078000002</v>
      </c>
      <c r="P87" s="192">
        <v>0.70736734008666602</v>
      </c>
      <c r="Q87" s="192">
        <v>0.62393762206000003</v>
      </c>
      <c r="R87" s="192">
        <v>0.53288895162666605</v>
      </c>
      <c r="S87" s="192">
        <v>0.44726796468666602</v>
      </c>
      <c r="T87" s="192">
        <v>0.48135408274666602</v>
      </c>
      <c r="U87" s="192">
        <v>0.55341071319333301</v>
      </c>
      <c r="V87" s="192">
        <v>0.64061545816666599</v>
      </c>
      <c r="W87" s="192">
        <v>0.559146540326666</v>
      </c>
      <c r="X87" s="192">
        <v>0.53672686766</v>
      </c>
      <c r="Y87" s="192">
        <v>0.80315817769333298</v>
      </c>
      <c r="Z87" s="192">
        <v>0.62125169881333298</v>
      </c>
      <c r="AA87" s="192"/>
      <c r="AB87" s="192"/>
      <c r="AC87" s="192"/>
      <c r="AD87" s="192"/>
      <c r="AE87" s="192"/>
      <c r="AF87" s="192"/>
      <c r="AG87" s="192"/>
      <c r="AH87" s="192"/>
      <c r="AI87" s="192"/>
      <c r="AJ87" s="192"/>
      <c r="AK87" s="192"/>
      <c r="AL87" s="192"/>
      <c r="AM87" s="192"/>
      <c r="AN87" s="192"/>
      <c r="AO87" s="192"/>
      <c r="AP87" s="192"/>
      <c r="AQ87" s="192"/>
      <c r="AR87" s="192"/>
      <c r="AS87" s="192"/>
      <c r="AT87" s="192"/>
      <c r="AU87" s="192"/>
      <c r="AV87" s="192"/>
      <c r="AW87" s="192"/>
      <c r="AX87" s="192"/>
      <c r="AY87" s="192"/>
      <c r="AZ87" s="192"/>
      <c r="BA87" s="192"/>
      <c r="BB87" s="192"/>
      <c r="BC87" s="192"/>
      <c r="BD87" s="192"/>
      <c r="BE87" s="192"/>
      <c r="BF87" s="192"/>
      <c r="BG87" s="192"/>
      <c r="BH87" s="192"/>
      <c r="BI87" s="192"/>
      <c r="BJ87" s="192"/>
      <c r="BK87" s="192"/>
      <c r="BL87" s="192"/>
      <c r="BM87" s="192"/>
      <c r="BN87" s="192"/>
      <c r="BO87" s="192"/>
      <c r="BP87" s="192"/>
      <c r="BQ87" s="192"/>
      <c r="BR87" s="192"/>
      <c r="BS87" s="192"/>
      <c r="BT87" s="192"/>
      <c r="BU87" s="192"/>
      <c r="BV87" s="192"/>
      <c r="BW87" s="192"/>
      <c r="BX87" s="192"/>
    </row>
    <row r="88" spans="1:76">
      <c r="A88" s="192">
        <v>770</v>
      </c>
      <c r="B88" s="192">
        <v>0.85958912658666597</v>
      </c>
      <c r="C88" s="192">
        <v>0.38025990804666598</v>
      </c>
      <c r="D88" s="192">
        <v>0.82028233336666601</v>
      </c>
      <c r="E88" s="192">
        <v>0.82976759339333295</v>
      </c>
      <c r="F88" s="192">
        <v>0.53657999418666602</v>
      </c>
      <c r="G88" s="192">
        <v>0.868996404033333</v>
      </c>
      <c r="H88" s="192">
        <v>0.44568999735333298</v>
      </c>
      <c r="I88" s="192">
        <v>0.60076436359999996</v>
      </c>
      <c r="J88" s="192">
        <v>0.85850793965333305</v>
      </c>
      <c r="K88" s="192">
        <v>0.80538127645333302</v>
      </c>
      <c r="L88" s="192">
        <v>0.73434262084666602</v>
      </c>
      <c r="M88" s="192">
        <v>0.83659549458666604</v>
      </c>
      <c r="N88" s="192">
        <v>0.86234197490666598</v>
      </c>
      <c r="O88" s="192">
        <v>0.86290251668666595</v>
      </c>
      <c r="P88" s="192">
        <v>0.73138724262666599</v>
      </c>
      <c r="Q88" s="192">
        <v>0.65684905498000001</v>
      </c>
      <c r="R88" s="192">
        <v>0.57380845132666602</v>
      </c>
      <c r="S88" s="192">
        <v>0.49387282053999998</v>
      </c>
      <c r="T88" s="192">
        <v>0.52567395783333304</v>
      </c>
      <c r="U88" s="192">
        <v>0.59262880707333299</v>
      </c>
      <c r="V88" s="192">
        <v>0.67230083210666602</v>
      </c>
      <c r="W88" s="192">
        <v>0.59805197905999996</v>
      </c>
      <c r="X88" s="192">
        <v>0.57717755635999901</v>
      </c>
      <c r="Y88" s="192">
        <v>0.81604041543999895</v>
      </c>
      <c r="Z88" s="192">
        <v>0.65402873994666599</v>
      </c>
      <c r="AA88" s="192"/>
      <c r="AB88" s="192"/>
      <c r="AC88" s="192"/>
      <c r="AD88" s="192"/>
      <c r="AE88" s="192"/>
      <c r="AF88" s="192"/>
      <c r="AG88" s="192"/>
      <c r="AH88" s="192"/>
      <c r="AI88" s="192"/>
      <c r="AJ88" s="192"/>
      <c r="AK88" s="192"/>
      <c r="AL88" s="192"/>
      <c r="AM88" s="192"/>
      <c r="AN88" s="192"/>
      <c r="AO88" s="192"/>
      <c r="AP88" s="192"/>
      <c r="AQ88" s="192"/>
      <c r="AR88" s="192"/>
      <c r="AS88" s="192"/>
      <c r="AT88" s="192"/>
      <c r="AU88" s="192"/>
      <c r="AV88" s="192"/>
      <c r="AW88" s="192"/>
      <c r="AX88" s="192"/>
      <c r="AY88" s="192"/>
      <c r="AZ88" s="192"/>
      <c r="BA88" s="192"/>
      <c r="BB88" s="192"/>
      <c r="BC88" s="192"/>
      <c r="BD88" s="192"/>
      <c r="BE88" s="192"/>
      <c r="BF88" s="192"/>
      <c r="BG88" s="192"/>
      <c r="BH88" s="192"/>
      <c r="BI88" s="192"/>
      <c r="BJ88" s="192"/>
      <c r="BK88" s="192"/>
      <c r="BL88" s="192"/>
      <c r="BM88" s="192"/>
      <c r="BN88" s="192"/>
      <c r="BO88" s="192"/>
      <c r="BP88" s="192"/>
      <c r="BQ88" s="192"/>
      <c r="BR88" s="192"/>
      <c r="BS88" s="192"/>
      <c r="BT88" s="192"/>
      <c r="BU88" s="192"/>
      <c r="BV88" s="192"/>
      <c r="BW88" s="192"/>
      <c r="BX88" s="192"/>
    </row>
    <row r="89" spans="1:76">
      <c r="A89" s="192">
        <v>775</v>
      </c>
      <c r="B89" s="192">
        <v>0.86523435465333298</v>
      </c>
      <c r="C89" s="192">
        <v>0.43007659149333299</v>
      </c>
      <c r="D89" s="192">
        <v>0.82921875508666598</v>
      </c>
      <c r="E89" s="192">
        <v>0.83884320578666605</v>
      </c>
      <c r="F89" s="192">
        <v>0.578625109346666</v>
      </c>
      <c r="G89" s="192">
        <v>0.87227009582666604</v>
      </c>
      <c r="H89" s="192">
        <v>0.49386225383333299</v>
      </c>
      <c r="I89" s="192">
        <v>0.63733973184666604</v>
      </c>
      <c r="J89" s="192">
        <v>0.86459875488666604</v>
      </c>
      <c r="K89" s="192">
        <v>0.81805738321999899</v>
      </c>
      <c r="L89" s="192">
        <v>0.75560370382666597</v>
      </c>
      <c r="M89" s="192">
        <v>0.84518387857333299</v>
      </c>
      <c r="N89" s="192">
        <v>0.86736483765333305</v>
      </c>
      <c r="O89" s="192">
        <v>0.868539357513333</v>
      </c>
      <c r="P89" s="192">
        <v>0.75357623291999898</v>
      </c>
      <c r="Q89" s="192">
        <v>0.68764889525333295</v>
      </c>
      <c r="R89" s="192">
        <v>0.61175155639999901</v>
      </c>
      <c r="S89" s="192">
        <v>0.53757483927333305</v>
      </c>
      <c r="T89" s="192">
        <v>0.56817032369333298</v>
      </c>
      <c r="U89" s="192">
        <v>0.630201540633333</v>
      </c>
      <c r="V89" s="192">
        <v>0.70005457050666597</v>
      </c>
      <c r="W89" s="192">
        <v>0.63368931579999899</v>
      </c>
      <c r="X89" s="192">
        <v>0.61571588643333297</v>
      </c>
      <c r="Y89" s="192">
        <v>0.82708651223999996</v>
      </c>
      <c r="Z89" s="192">
        <v>0.68399173481999898</v>
      </c>
      <c r="AA89" s="192"/>
      <c r="AB89" s="192"/>
      <c r="AC89" s="192"/>
      <c r="AD89" s="192"/>
      <c r="AE89" s="192"/>
      <c r="AF89" s="192"/>
      <c r="AG89" s="192"/>
      <c r="AH89" s="192"/>
      <c r="AI89" s="192"/>
      <c r="AJ89" s="192"/>
      <c r="AK89" s="192"/>
      <c r="AL89" s="192"/>
      <c r="AM89" s="192"/>
      <c r="AN89" s="192"/>
      <c r="AO89" s="192"/>
      <c r="AP89" s="192"/>
      <c r="AQ89" s="192"/>
      <c r="AR89" s="192"/>
      <c r="AS89" s="192"/>
      <c r="AT89" s="192"/>
      <c r="AU89" s="192"/>
      <c r="AV89" s="192"/>
      <c r="AW89" s="192"/>
      <c r="AX89" s="192"/>
      <c r="AY89" s="192"/>
      <c r="AZ89" s="192"/>
      <c r="BA89" s="192"/>
      <c r="BB89" s="192"/>
      <c r="BC89" s="192"/>
      <c r="BD89" s="192"/>
      <c r="BE89" s="192"/>
      <c r="BF89" s="192"/>
      <c r="BG89" s="192"/>
      <c r="BH89" s="192"/>
      <c r="BI89" s="192"/>
      <c r="BJ89" s="192"/>
      <c r="BK89" s="192"/>
      <c r="BL89" s="192"/>
      <c r="BM89" s="192"/>
      <c r="BN89" s="192"/>
      <c r="BO89" s="192"/>
      <c r="BP89" s="192"/>
      <c r="BQ89" s="192"/>
      <c r="BR89" s="192"/>
      <c r="BS89" s="192"/>
      <c r="BT89" s="192"/>
      <c r="BU89" s="192"/>
      <c r="BV89" s="192"/>
      <c r="BW89" s="192"/>
      <c r="BX89" s="192"/>
    </row>
    <row r="90" spans="1:76">
      <c r="A90" s="192">
        <v>780</v>
      </c>
      <c r="B90" s="192">
        <v>0.86994735717999905</v>
      </c>
      <c r="C90" s="192">
        <v>0.48080469003333298</v>
      </c>
      <c r="D90" s="192">
        <v>0.83837444050666599</v>
      </c>
      <c r="E90" s="192">
        <v>0.84585275268666604</v>
      </c>
      <c r="F90" s="192">
        <v>0.61791970571333299</v>
      </c>
      <c r="G90" s="192">
        <v>0.87575989787333297</v>
      </c>
      <c r="H90" s="192">
        <v>0.53884469859333295</v>
      </c>
      <c r="I90" s="192">
        <v>0.67008841959999899</v>
      </c>
      <c r="J90" s="192">
        <v>0.86987319437333299</v>
      </c>
      <c r="K90" s="192">
        <v>0.829835052486666</v>
      </c>
      <c r="L90" s="192">
        <v>0.77551261393333304</v>
      </c>
      <c r="M90" s="192">
        <v>0.85218152364666599</v>
      </c>
      <c r="N90" s="192">
        <v>0.87064216613333301</v>
      </c>
      <c r="O90" s="192">
        <v>0.87187260436666603</v>
      </c>
      <c r="P90" s="192">
        <v>0.77289606219999896</v>
      </c>
      <c r="Q90" s="192">
        <v>0.71442421467999995</v>
      </c>
      <c r="R90" s="192">
        <v>0.64766420745999898</v>
      </c>
      <c r="S90" s="192">
        <v>0.58048760477333305</v>
      </c>
      <c r="T90" s="192">
        <v>0.60834597015333303</v>
      </c>
      <c r="U90" s="192">
        <v>0.66351744589333295</v>
      </c>
      <c r="V90" s="192">
        <v>0.72728514099333297</v>
      </c>
      <c r="W90" s="192">
        <v>0.66746092731999995</v>
      </c>
      <c r="X90" s="192">
        <v>0.650745567319999</v>
      </c>
      <c r="Y90" s="192">
        <v>0.83718533834666597</v>
      </c>
      <c r="Z90" s="192">
        <v>0.711575637813333</v>
      </c>
      <c r="AA90" s="192"/>
      <c r="AB90" s="192"/>
      <c r="AC90" s="192"/>
      <c r="AD90" s="192"/>
      <c r="AE90" s="192"/>
      <c r="AF90" s="192"/>
      <c r="AG90" s="192"/>
      <c r="AH90" s="192"/>
      <c r="AI90" s="192"/>
      <c r="AJ90" s="192"/>
      <c r="AK90" s="192"/>
      <c r="AL90" s="192"/>
      <c r="AM90" s="192"/>
      <c r="AN90" s="192"/>
      <c r="AO90" s="192"/>
      <c r="AP90" s="192"/>
      <c r="AQ90" s="192"/>
      <c r="AR90" s="192"/>
      <c r="AS90" s="192"/>
      <c r="AT90" s="192"/>
      <c r="AU90" s="192"/>
      <c r="AV90" s="192"/>
      <c r="AW90" s="192"/>
      <c r="AX90" s="192"/>
      <c r="AY90" s="192"/>
      <c r="AZ90" s="192"/>
      <c r="BA90" s="192"/>
      <c r="BB90" s="192"/>
      <c r="BC90" s="192"/>
      <c r="BD90" s="192"/>
      <c r="BE90" s="192"/>
      <c r="BF90" s="192"/>
      <c r="BG90" s="192"/>
      <c r="BH90" s="192"/>
      <c r="BI90" s="192"/>
      <c r="BJ90" s="192"/>
      <c r="BK90" s="192"/>
      <c r="BL90" s="192"/>
      <c r="BM90" s="192"/>
      <c r="BN90" s="192"/>
      <c r="BO90" s="192"/>
      <c r="BP90" s="192"/>
      <c r="BQ90" s="192"/>
      <c r="BR90" s="192"/>
      <c r="BS90" s="192"/>
      <c r="BT90" s="192"/>
      <c r="BU90" s="192"/>
      <c r="BV90" s="192"/>
      <c r="BW90" s="192"/>
      <c r="BX90" s="192"/>
    </row>
    <row r="91" spans="1:76">
      <c r="A91" s="192">
        <v>785</v>
      </c>
      <c r="B91" s="192">
        <v>0.876294830326666</v>
      </c>
      <c r="C91" s="192">
        <v>0.53086673737333301</v>
      </c>
      <c r="D91" s="192">
        <v>0.84856968689333301</v>
      </c>
      <c r="E91" s="192">
        <v>0.85488990275333299</v>
      </c>
      <c r="F91" s="192">
        <v>0.65419745635333304</v>
      </c>
      <c r="G91" s="192">
        <v>0.880013336179999</v>
      </c>
      <c r="H91" s="192">
        <v>0.58342050680000002</v>
      </c>
      <c r="I91" s="192">
        <v>0.70124273173999896</v>
      </c>
      <c r="J91" s="192">
        <v>0.87560368855333304</v>
      </c>
      <c r="K91" s="192">
        <v>0.84184694416666594</v>
      </c>
      <c r="L91" s="192">
        <v>0.79454717509333295</v>
      </c>
      <c r="M91" s="192">
        <v>0.86097343445333296</v>
      </c>
      <c r="N91" s="192">
        <v>0.87639361063333299</v>
      </c>
      <c r="O91" s="192">
        <v>0.87619057209999895</v>
      </c>
      <c r="P91" s="192">
        <v>0.79201811726000004</v>
      </c>
      <c r="Q91" s="192">
        <v>0.74171866862666602</v>
      </c>
      <c r="R91" s="192">
        <v>0.68192914327333298</v>
      </c>
      <c r="S91" s="192">
        <v>0.62105066171333301</v>
      </c>
      <c r="T91" s="192">
        <v>0.64645455423333298</v>
      </c>
      <c r="U91" s="192">
        <v>0.69656007385999896</v>
      </c>
      <c r="V91" s="192">
        <v>0.751181793206666</v>
      </c>
      <c r="W91" s="192">
        <v>0.69903581238666601</v>
      </c>
      <c r="X91" s="192">
        <v>0.68445991005999895</v>
      </c>
      <c r="Y91" s="192">
        <v>0.84731416321333297</v>
      </c>
      <c r="Z91" s="192">
        <v>0.73816193135333297</v>
      </c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  <c r="AM91" s="192"/>
      <c r="AN91" s="192"/>
      <c r="AO91" s="192"/>
      <c r="AP91" s="192"/>
      <c r="AQ91" s="192"/>
      <c r="AR91" s="192"/>
      <c r="AS91" s="192"/>
      <c r="AT91" s="192"/>
      <c r="AU91" s="192"/>
      <c r="AV91" s="192"/>
      <c r="AW91" s="192"/>
      <c r="AX91" s="192"/>
      <c r="AY91" s="192"/>
      <c r="AZ91" s="192"/>
      <c r="BA91" s="192"/>
      <c r="BB91" s="192"/>
      <c r="BC91" s="192"/>
      <c r="BD91" s="192"/>
      <c r="BE91" s="192"/>
      <c r="BF91" s="192"/>
      <c r="BG91" s="192"/>
      <c r="BH91" s="192"/>
      <c r="BI91" s="192"/>
      <c r="BJ91" s="192"/>
      <c r="BK91" s="192"/>
      <c r="BL91" s="192"/>
      <c r="BM91" s="192"/>
      <c r="BN91" s="192"/>
      <c r="BO91" s="192"/>
      <c r="BP91" s="192"/>
      <c r="BQ91" s="192"/>
      <c r="BR91" s="192"/>
      <c r="BS91" s="192"/>
      <c r="BT91" s="192"/>
      <c r="BU91" s="192"/>
      <c r="BV91" s="192"/>
      <c r="BW91" s="192"/>
      <c r="BX91" s="192"/>
    </row>
    <row r="92" spans="1:76">
      <c r="A92" s="192">
        <v>790</v>
      </c>
      <c r="B92" s="192">
        <v>0.88051632690666604</v>
      </c>
      <c r="C92" s="192">
        <v>0.57568586476666594</v>
      </c>
      <c r="D92" s="192">
        <v>0.85508746847333295</v>
      </c>
      <c r="E92" s="192">
        <v>0.86041093952666603</v>
      </c>
      <c r="F92" s="192">
        <v>0.68779219055333296</v>
      </c>
      <c r="G92" s="192">
        <v>0.88267039489999899</v>
      </c>
      <c r="H92" s="192">
        <v>0.62374484761333304</v>
      </c>
      <c r="I92" s="192">
        <v>0.72865894572000001</v>
      </c>
      <c r="J92" s="192">
        <v>0.87971986388000001</v>
      </c>
      <c r="K92" s="192">
        <v>0.85036293538666596</v>
      </c>
      <c r="L92" s="192">
        <v>0.81004840087999896</v>
      </c>
      <c r="M92" s="192">
        <v>0.86569456990666604</v>
      </c>
      <c r="N92" s="192">
        <v>0.87987471007999896</v>
      </c>
      <c r="O92" s="192">
        <v>0.88040505471999997</v>
      </c>
      <c r="P92" s="192">
        <v>0.80834256490666601</v>
      </c>
      <c r="Q92" s="192">
        <v>0.76380525716000003</v>
      </c>
      <c r="R92" s="192">
        <v>0.71083214314666598</v>
      </c>
      <c r="S92" s="192">
        <v>0.65729387918666604</v>
      </c>
      <c r="T92" s="192">
        <v>0.67982644145333304</v>
      </c>
      <c r="U92" s="192">
        <v>0.72427999369333296</v>
      </c>
      <c r="V92" s="192">
        <v>0.77239665223333298</v>
      </c>
      <c r="W92" s="192">
        <v>0.72662232461999998</v>
      </c>
      <c r="X92" s="192">
        <v>0.71439877827999898</v>
      </c>
      <c r="Y92" s="192">
        <v>0.85467662557333302</v>
      </c>
      <c r="Z92" s="192">
        <v>0.75999039713333305</v>
      </c>
      <c r="AA92" s="192"/>
      <c r="AB92" s="192"/>
      <c r="AC92" s="192"/>
      <c r="AD92" s="192"/>
      <c r="AE92" s="192"/>
      <c r="AF92" s="192"/>
      <c r="AG92" s="192"/>
      <c r="AH92" s="192"/>
      <c r="AI92" s="192"/>
      <c r="AJ92" s="192"/>
      <c r="AK92" s="192"/>
      <c r="AL92" s="192"/>
      <c r="AM92" s="192"/>
      <c r="AN92" s="192"/>
      <c r="AO92" s="192"/>
      <c r="AP92" s="192"/>
      <c r="AQ92" s="192"/>
      <c r="AR92" s="192"/>
      <c r="AS92" s="192"/>
      <c r="AT92" s="192"/>
      <c r="AU92" s="192"/>
      <c r="AV92" s="192"/>
      <c r="AW92" s="192"/>
      <c r="AX92" s="192"/>
      <c r="AY92" s="192"/>
      <c r="AZ92" s="192"/>
      <c r="BA92" s="192"/>
      <c r="BB92" s="192"/>
      <c r="BC92" s="192"/>
      <c r="BD92" s="192"/>
      <c r="BE92" s="192"/>
      <c r="BF92" s="192"/>
      <c r="BG92" s="192"/>
      <c r="BH92" s="192"/>
      <c r="BI92" s="192"/>
      <c r="BJ92" s="192"/>
      <c r="BK92" s="192"/>
      <c r="BL92" s="192"/>
      <c r="BM92" s="192"/>
      <c r="BN92" s="192"/>
      <c r="BO92" s="192"/>
      <c r="BP92" s="192"/>
      <c r="BQ92" s="192"/>
      <c r="BR92" s="192"/>
      <c r="BS92" s="192"/>
      <c r="BT92" s="192"/>
      <c r="BU92" s="192"/>
      <c r="BV92" s="192"/>
      <c r="BW92" s="192"/>
      <c r="BX92" s="192"/>
    </row>
    <row r="93" spans="1:76">
      <c r="A93" s="192">
        <v>795</v>
      </c>
      <c r="B93" s="192">
        <v>0.88374048360666602</v>
      </c>
      <c r="C93" s="192">
        <v>0.61724351247333298</v>
      </c>
      <c r="D93" s="192">
        <v>0.86184029642000004</v>
      </c>
      <c r="E93" s="192">
        <v>0.86650043741999905</v>
      </c>
      <c r="F93" s="192">
        <v>0.71782236734666605</v>
      </c>
      <c r="G93" s="192">
        <v>0.88492492676666601</v>
      </c>
      <c r="H93" s="192">
        <v>0.66071134949333299</v>
      </c>
      <c r="I93" s="192">
        <v>0.75299979655333305</v>
      </c>
      <c r="J93" s="192">
        <v>0.88299630230000004</v>
      </c>
      <c r="K93" s="192">
        <v>0.85854662068666598</v>
      </c>
      <c r="L93" s="192">
        <v>0.82347512307333304</v>
      </c>
      <c r="M93" s="192">
        <v>0.87096851602666603</v>
      </c>
      <c r="N93" s="192">
        <v>0.88225670368666598</v>
      </c>
      <c r="O93" s="192">
        <v>0.88286659240666598</v>
      </c>
      <c r="P93" s="192">
        <v>0.82208471172666597</v>
      </c>
      <c r="Q93" s="192">
        <v>0.783892217</v>
      </c>
      <c r="R93" s="192">
        <v>0.73794297791999897</v>
      </c>
      <c r="S93" s="192">
        <v>0.69029140725333304</v>
      </c>
      <c r="T93" s="192">
        <v>0.710532648739999</v>
      </c>
      <c r="U93" s="192">
        <v>0.74980521138</v>
      </c>
      <c r="V93" s="192">
        <v>0.79132261150666605</v>
      </c>
      <c r="W93" s="192">
        <v>0.75004871113333305</v>
      </c>
      <c r="X93" s="192">
        <v>0.74072767638000003</v>
      </c>
      <c r="Y93" s="192">
        <v>0.86218601989333299</v>
      </c>
      <c r="Z93" s="192">
        <v>0.77930213928666603</v>
      </c>
      <c r="AA93" s="192"/>
      <c r="AB93" s="192"/>
      <c r="AC93" s="192"/>
      <c r="AD93" s="192"/>
      <c r="AE93" s="192"/>
      <c r="AF93" s="192"/>
      <c r="AG93" s="192"/>
      <c r="AH93" s="192"/>
      <c r="AI93" s="192"/>
      <c r="AJ93" s="192"/>
      <c r="AK93" s="192"/>
      <c r="AL93" s="192"/>
      <c r="AM93" s="192"/>
      <c r="AN93" s="192"/>
      <c r="AO93" s="192"/>
      <c r="AP93" s="192"/>
      <c r="AQ93" s="192"/>
      <c r="AR93" s="192"/>
      <c r="AS93" s="192"/>
      <c r="AT93" s="192"/>
      <c r="AU93" s="192"/>
      <c r="AV93" s="192"/>
      <c r="AW93" s="192"/>
      <c r="AX93" s="192"/>
      <c r="AY93" s="192"/>
      <c r="AZ93" s="192"/>
      <c r="BA93" s="192"/>
      <c r="BB93" s="192"/>
      <c r="BC93" s="192"/>
      <c r="BD93" s="192"/>
      <c r="BE93" s="192"/>
      <c r="BF93" s="192"/>
      <c r="BG93" s="192"/>
      <c r="BH93" s="192"/>
      <c r="BI93" s="192"/>
      <c r="BJ93" s="192"/>
      <c r="BK93" s="192"/>
      <c r="BL93" s="192"/>
      <c r="BM93" s="192"/>
      <c r="BN93" s="192"/>
      <c r="BO93" s="192"/>
      <c r="BP93" s="192"/>
      <c r="BQ93" s="192"/>
      <c r="BR93" s="192"/>
      <c r="BS93" s="192"/>
      <c r="BT93" s="192"/>
      <c r="BU93" s="192"/>
      <c r="BV93" s="192"/>
      <c r="BW93" s="192"/>
      <c r="BX93" s="192"/>
    </row>
    <row r="94" spans="1:76">
      <c r="A94" s="192">
        <v>800</v>
      </c>
      <c r="B94" s="192">
        <v>0.88700676981333304</v>
      </c>
      <c r="C94" s="192">
        <v>0.65647800953333302</v>
      </c>
      <c r="D94" s="192">
        <v>0.86633989970000003</v>
      </c>
      <c r="E94" s="192">
        <v>0.87124440002666603</v>
      </c>
      <c r="F94" s="192">
        <v>0.743834889733333</v>
      </c>
      <c r="G94" s="192">
        <v>0.88705492146666598</v>
      </c>
      <c r="H94" s="192">
        <v>0.69370469156666603</v>
      </c>
      <c r="I94" s="192">
        <v>0.77373855590666596</v>
      </c>
      <c r="J94" s="192">
        <v>0.88659564207999997</v>
      </c>
      <c r="K94" s="192">
        <v>0.86391696675333296</v>
      </c>
      <c r="L94" s="192">
        <v>0.83562261453999898</v>
      </c>
      <c r="M94" s="192">
        <v>0.87506335448000006</v>
      </c>
      <c r="N94" s="192">
        <v>0.88469576007999895</v>
      </c>
      <c r="O94" s="192">
        <v>0.88581596374666605</v>
      </c>
      <c r="P94" s="192">
        <v>0.83341782633999995</v>
      </c>
      <c r="Q94" s="192">
        <v>0.80116440327999905</v>
      </c>
      <c r="R94" s="192">
        <v>0.76135967000666604</v>
      </c>
      <c r="S94" s="192">
        <v>0.71933090718666604</v>
      </c>
      <c r="T94" s="192">
        <v>0.73813719686000001</v>
      </c>
      <c r="U94" s="192">
        <v>0.77269869485333298</v>
      </c>
      <c r="V94" s="192">
        <v>0.80770725504666596</v>
      </c>
      <c r="W94" s="192">
        <v>0.77297425332666603</v>
      </c>
      <c r="X94" s="192">
        <v>0.76431125386666598</v>
      </c>
      <c r="Y94" s="192">
        <v>0.86819403075333301</v>
      </c>
      <c r="Z94" s="192">
        <v>0.79698961894666598</v>
      </c>
      <c r="AA94" s="192"/>
      <c r="AB94" s="192"/>
      <c r="AC94" s="192"/>
      <c r="AD94" s="192"/>
      <c r="AE94" s="192"/>
      <c r="AF94" s="192"/>
      <c r="AG94" s="192"/>
      <c r="AH94" s="192"/>
      <c r="AI94" s="192"/>
      <c r="AJ94" s="192"/>
      <c r="AK94" s="192"/>
      <c r="AL94" s="192"/>
      <c r="AM94" s="192"/>
      <c r="AN94" s="192"/>
      <c r="AO94" s="192"/>
      <c r="AP94" s="192"/>
      <c r="AQ94" s="192"/>
      <c r="AR94" s="192"/>
      <c r="AS94" s="192"/>
      <c r="AT94" s="192"/>
      <c r="AU94" s="192"/>
      <c r="AV94" s="192"/>
      <c r="AW94" s="192"/>
      <c r="AX94" s="192"/>
      <c r="AY94" s="192"/>
      <c r="AZ94" s="192"/>
      <c r="BA94" s="192"/>
      <c r="BB94" s="192"/>
      <c r="BC94" s="192"/>
      <c r="BD94" s="192"/>
      <c r="BE94" s="192"/>
      <c r="BF94" s="192"/>
      <c r="BG94" s="192"/>
      <c r="BH94" s="192"/>
      <c r="BI94" s="192"/>
      <c r="BJ94" s="192"/>
      <c r="BK94" s="192"/>
      <c r="BL94" s="192"/>
      <c r="BM94" s="192"/>
      <c r="BN94" s="192"/>
      <c r="BO94" s="192"/>
      <c r="BP94" s="192"/>
      <c r="BQ94" s="192"/>
      <c r="BR94" s="192"/>
      <c r="BS94" s="192"/>
      <c r="BT94" s="192"/>
      <c r="BU94" s="192"/>
      <c r="BV94" s="192"/>
      <c r="BW94" s="192"/>
      <c r="BX94" s="192"/>
    </row>
    <row r="95" spans="1:76">
      <c r="A95" s="192">
        <v>805</v>
      </c>
      <c r="B95" s="192">
        <v>0.89019478862666601</v>
      </c>
      <c r="C95" s="192">
        <v>0.69174107870666601</v>
      </c>
      <c r="D95" s="192">
        <v>0.87232678732666602</v>
      </c>
      <c r="E95" s="192">
        <v>0.87615160116666602</v>
      </c>
      <c r="F95" s="192">
        <v>0.76822529093333303</v>
      </c>
      <c r="G95" s="192">
        <v>0.88994416808666599</v>
      </c>
      <c r="H95" s="192">
        <v>0.72466725160000001</v>
      </c>
      <c r="I95" s="192">
        <v>0.79324741616666605</v>
      </c>
      <c r="J95" s="192">
        <v>0.889763392133333</v>
      </c>
      <c r="K95" s="192">
        <v>0.87111710612666604</v>
      </c>
      <c r="L95" s="192">
        <v>0.846643402106666</v>
      </c>
      <c r="M95" s="192">
        <v>0.87981113688000001</v>
      </c>
      <c r="N95" s="192">
        <v>0.888055913293333</v>
      </c>
      <c r="O95" s="192">
        <v>0.88846615092666603</v>
      </c>
      <c r="P95" s="192">
        <v>0.84560453288000004</v>
      </c>
      <c r="Q95" s="192">
        <v>0.81697795104000004</v>
      </c>
      <c r="R95" s="192">
        <v>0.78301330566000005</v>
      </c>
      <c r="S95" s="192">
        <v>0.746313044226666</v>
      </c>
      <c r="T95" s="192">
        <v>0.76248296610666599</v>
      </c>
      <c r="U95" s="192">
        <v>0.79353605142666594</v>
      </c>
      <c r="V95" s="192">
        <v>0.82286362711999905</v>
      </c>
      <c r="W95" s="192">
        <v>0.79262281289999903</v>
      </c>
      <c r="X95" s="192">
        <v>0.785174077353333</v>
      </c>
      <c r="Y95" s="192">
        <v>0.87458864338666598</v>
      </c>
      <c r="Z95" s="192">
        <v>0.81319835916666605</v>
      </c>
      <c r="AA95" s="192"/>
      <c r="AB95" s="192"/>
      <c r="AC95" s="192"/>
      <c r="AD95" s="192"/>
      <c r="AE95" s="192"/>
      <c r="AF95" s="192"/>
      <c r="AG95" s="192"/>
      <c r="AH95" s="192"/>
      <c r="AI95" s="192"/>
      <c r="AJ95" s="192"/>
      <c r="AK95" s="192"/>
      <c r="AL95" s="192"/>
      <c r="AM95" s="192"/>
      <c r="AN95" s="192"/>
      <c r="AO95" s="192"/>
      <c r="AP95" s="192"/>
      <c r="AQ95" s="192"/>
      <c r="AR95" s="192"/>
      <c r="AS95" s="192"/>
      <c r="AT95" s="192"/>
      <c r="AU95" s="192"/>
      <c r="AV95" s="192"/>
      <c r="AW95" s="192"/>
      <c r="AX95" s="192"/>
      <c r="AY95" s="192"/>
      <c r="AZ95" s="192"/>
      <c r="BA95" s="192"/>
      <c r="BB95" s="192"/>
      <c r="BC95" s="192"/>
      <c r="BD95" s="192"/>
      <c r="BE95" s="192"/>
      <c r="BF95" s="192"/>
      <c r="BG95" s="192"/>
      <c r="BH95" s="192"/>
      <c r="BI95" s="192"/>
      <c r="BJ95" s="192"/>
      <c r="BK95" s="192"/>
      <c r="BL95" s="192"/>
      <c r="BM95" s="192"/>
      <c r="BN95" s="192"/>
      <c r="BO95" s="192"/>
      <c r="BP95" s="192"/>
      <c r="BQ95" s="192"/>
      <c r="BR95" s="192"/>
      <c r="BS95" s="192"/>
      <c r="BT95" s="192"/>
      <c r="BU95" s="192"/>
      <c r="BV95" s="192"/>
      <c r="BW95" s="192"/>
      <c r="BX95" s="192"/>
    </row>
    <row r="96" spans="1:76">
      <c r="A96" s="192">
        <v>810</v>
      </c>
      <c r="B96" s="192">
        <v>0.89172747803333297</v>
      </c>
      <c r="C96" s="192">
        <v>0.72112785848000005</v>
      </c>
      <c r="D96" s="192">
        <v>0.87603222147333304</v>
      </c>
      <c r="E96" s="192">
        <v>0.87937445576666595</v>
      </c>
      <c r="F96" s="192">
        <v>0.78719220987333305</v>
      </c>
      <c r="G96" s="192">
        <v>0.89076167296666597</v>
      </c>
      <c r="H96" s="192">
        <v>0.74868676250666599</v>
      </c>
      <c r="I96" s="192">
        <v>0.80979677836666597</v>
      </c>
      <c r="J96" s="192">
        <v>0.89241129558666599</v>
      </c>
      <c r="K96" s="192">
        <v>0.87682132465999896</v>
      </c>
      <c r="L96" s="192">
        <v>0.85527692160666602</v>
      </c>
      <c r="M96" s="192">
        <v>0.88297607932</v>
      </c>
      <c r="N96" s="192">
        <v>0.88998637898666599</v>
      </c>
      <c r="O96" s="192">
        <v>0.88995512390666598</v>
      </c>
      <c r="P96" s="192">
        <v>0.85344105020666605</v>
      </c>
      <c r="Q96" s="192">
        <v>0.82955359395999895</v>
      </c>
      <c r="R96" s="192">
        <v>0.80058468627333301</v>
      </c>
      <c r="S96" s="192">
        <v>0.76862267557333297</v>
      </c>
      <c r="T96" s="192">
        <v>0.78246896871333305</v>
      </c>
      <c r="U96" s="192">
        <v>0.80840651958666598</v>
      </c>
      <c r="V96" s="192">
        <v>0.83527819315333296</v>
      </c>
      <c r="W96" s="192">
        <v>0.80824703978000001</v>
      </c>
      <c r="X96" s="192">
        <v>0.803127181999999</v>
      </c>
      <c r="Y96" s="192">
        <v>0.878023656213333</v>
      </c>
      <c r="Z96" s="192">
        <v>0.82573203023999997</v>
      </c>
      <c r="AA96" s="192"/>
      <c r="AB96" s="192"/>
      <c r="AC96" s="192"/>
      <c r="AD96" s="192"/>
      <c r="AE96" s="192"/>
      <c r="AF96" s="192"/>
      <c r="AG96" s="192"/>
      <c r="AH96" s="192"/>
      <c r="AI96" s="192"/>
      <c r="AJ96" s="192"/>
      <c r="AK96" s="192"/>
      <c r="AL96" s="192"/>
      <c r="AM96" s="192"/>
      <c r="AN96" s="192"/>
      <c r="AO96" s="192"/>
      <c r="AP96" s="192"/>
      <c r="AQ96" s="192"/>
      <c r="AR96" s="192"/>
      <c r="AS96" s="192"/>
      <c r="AT96" s="192"/>
      <c r="AU96" s="192"/>
      <c r="AV96" s="192"/>
      <c r="AW96" s="192"/>
      <c r="AX96" s="192"/>
      <c r="AY96" s="192"/>
      <c r="AZ96" s="192"/>
      <c r="BA96" s="192"/>
      <c r="BB96" s="192"/>
      <c r="BC96" s="192"/>
      <c r="BD96" s="192"/>
      <c r="BE96" s="192"/>
      <c r="BF96" s="192"/>
      <c r="BG96" s="192"/>
      <c r="BH96" s="192"/>
      <c r="BI96" s="192"/>
      <c r="BJ96" s="192"/>
      <c r="BK96" s="192"/>
      <c r="BL96" s="192"/>
      <c r="BM96" s="192"/>
      <c r="BN96" s="192"/>
      <c r="BO96" s="192"/>
      <c r="BP96" s="192"/>
      <c r="BQ96" s="192"/>
      <c r="BR96" s="192"/>
      <c r="BS96" s="192"/>
      <c r="BT96" s="192"/>
      <c r="BU96" s="192"/>
      <c r="BV96" s="192"/>
      <c r="BW96" s="192"/>
      <c r="BX96" s="192"/>
    </row>
    <row r="97" spans="1:76">
      <c r="A97" s="192">
        <v>815</v>
      </c>
      <c r="B97" s="192">
        <v>0.89384432983333295</v>
      </c>
      <c r="C97" s="192">
        <v>0.74755565897999898</v>
      </c>
      <c r="D97" s="192">
        <v>0.87918889871999895</v>
      </c>
      <c r="E97" s="192">
        <v>0.88209536235999997</v>
      </c>
      <c r="F97" s="192">
        <v>0.80484053548000001</v>
      </c>
      <c r="G97" s="192">
        <v>0.89289344280000005</v>
      </c>
      <c r="H97" s="192">
        <v>0.77211223347999902</v>
      </c>
      <c r="I97" s="192">
        <v>0.82366551207999905</v>
      </c>
      <c r="J97" s="192">
        <v>0.89342755127333295</v>
      </c>
      <c r="K97" s="192">
        <v>0.88151812235999905</v>
      </c>
      <c r="L97" s="192">
        <v>0.86302863058000001</v>
      </c>
      <c r="M97" s="192">
        <v>0.88605685425333303</v>
      </c>
      <c r="N97" s="192">
        <v>0.89173320515333299</v>
      </c>
      <c r="O97" s="192">
        <v>0.892061986286666</v>
      </c>
      <c r="P97" s="192">
        <v>0.86194163514</v>
      </c>
      <c r="Q97" s="192">
        <v>0.84094465637999904</v>
      </c>
      <c r="R97" s="192">
        <v>0.81577815247333296</v>
      </c>
      <c r="S97" s="192">
        <v>0.78841571554000001</v>
      </c>
      <c r="T97" s="192">
        <v>0.80147059631999995</v>
      </c>
      <c r="U97" s="192">
        <v>0.82364647929333301</v>
      </c>
      <c r="V97" s="192">
        <v>0.84560389709999895</v>
      </c>
      <c r="W97" s="192">
        <v>0.82312591044000005</v>
      </c>
      <c r="X97" s="192">
        <v>0.81766145324666595</v>
      </c>
      <c r="Y97" s="192">
        <v>0.88154662069333301</v>
      </c>
      <c r="Z97" s="192">
        <v>0.83658799234666603</v>
      </c>
      <c r="AA97" s="192"/>
      <c r="AB97" s="192"/>
      <c r="AC97" s="192"/>
      <c r="AD97" s="192"/>
      <c r="AE97" s="192"/>
      <c r="AF97" s="192"/>
      <c r="AG97" s="192"/>
      <c r="AH97" s="192"/>
      <c r="AI97" s="192"/>
      <c r="AJ97" s="192"/>
      <c r="AK97" s="192"/>
      <c r="AL97" s="192"/>
      <c r="AM97" s="192"/>
      <c r="AN97" s="192"/>
      <c r="AO97" s="192"/>
      <c r="AP97" s="192"/>
      <c r="AQ97" s="192"/>
      <c r="AR97" s="192"/>
      <c r="AS97" s="192"/>
      <c r="AT97" s="192"/>
      <c r="AU97" s="192"/>
      <c r="AV97" s="192"/>
      <c r="AW97" s="192"/>
      <c r="AX97" s="192"/>
      <c r="AY97" s="192"/>
      <c r="AZ97" s="192"/>
      <c r="BA97" s="192"/>
      <c r="BB97" s="192"/>
      <c r="BC97" s="192"/>
      <c r="BD97" s="192"/>
      <c r="BE97" s="192"/>
      <c r="BF97" s="192"/>
      <c r="BG97" s="192"/>
      <c r="BH97" s="192"/>
      <c r="BI97" s="192"/>
      <c r="BJ97" s="192"/>
      <c r="BK97" s="192"/>
      <c r="BL97" s="192"/>
      <c r="BM97" s="192"/>
      <c r="BN97" s="192"/>
      <c r="BO97" s="192"/>
      <c r="BP97" s="192"/>
      <c r="BQ97" s="192"/>
      <c r="BR97" s="192"/>
      <c r="BS97" s="192"/>
      <c r="BT97" s="192"/>
      <c r="BU97" s="192"/>
      <c r="BV97" s="192"/>
      <c r="BW97" s="192"/>
      <c r="BX97" s="192"/>
    </row>
    <row r="98" spans="1:76">
      <c r="A98" s="192">
        <v>820</v>
      </c>
      <c r="B98" s="192">
        <v>0.89566016641999902</v>
      </c>
      <c r="C98" s="192">
        <v>0.77149720762666596</v>
      </c>
      <c r="D98" s="192">
        <v>0.88276709494000005</v>
      </c>
      <c r="E98" s="192">
        <v>0.88503936260000005</v>
      </c>
      <c r="F98" s="192">
        <v>0.82071514383333299</v>
      </c>
      <c r="G98" s="192">
        <v>0.89456826273333301</v>
      </c>
      <c r="H98" s="192">
        <v>0.79131010436666605</v>
      </c>
      <c r="I98" s="192">
        <v>0.83571406045999896</v>
      </c>
      <c r="J98" s="192">
        <v>0.89618285624666605</v>
      </c>
      <c r="K98" s="192">
        <v>0.88487123107999999</v>
      </c>
      <c r="L98" s="192">
        <v>0.86972770692000001</v>
      </c>
      <c r="M98" s="192">
        <v>0.88806024676666595</v>
      </c>
      <c r="N98" s="192">
        <v>0.89317331441999903</v>
      </c>
      <c r="O98" s="192">
        <v>0.89299467975333302</v>
      </c>
      <c r="P98" s="192">
        <v>0.86839543659999996</v>
      </c>
      <c r="Q98" s="192">
        <v>0.8509211324</v>
      </c>
      <c r="R98" s="192">
        <v>0.82938671874666603</v>
      </c>
      <c r="S98" s="192">
        <v>0.80514570618666603</v>
      </c>
      <c r="T98" s="192">
        <v>0.81658053587333301</v>
      </c>
      <c r="U98" s="192">
        <v>0.83683139037999899</v>
      </c>
      <c r="V98" s="192">
        <v>0.85464334105999995</v>
      </c>
      <c r="W98" s="192">
        <v>0.83547914632666598</v>
      </c>
      <c r="X98" s="192">
        <v>0.83159161377999902</v>
      </c>
      <c r="Y98" s="192">
        <v>0.88542614746666604</v>
      </c>
      <c r="Z98" s="192">
        <v>0.84671097819999896</v>
      </c>
      <c r="AA98" s="192"/>
      <c r="AB98" s="192"/>
      <c r="AC98" s="192"/>
      <c r="AD98" s="192"/>
      <c r="AE98" s="192"/>
      <c r="AF98" s="192"/>
      <c r="AG98" s="192"/>
      <c r="AH98" s="192"/>
      <c r="AI98" s="192"/>
      <c r="AJ98" s="192"/>
      <c r="AK98" s="192"/>
      <c r="AL98" s="192"/>
      <c r="AM98" s="192"/>
      <c r="AN98" s="192"/>
      <c r="AO98" s="192"/>
      <c r="AP98" s="192"/>
      <c r="AQ98" s="192"/>
      <c r="AR98" s="192"/>
      <c r="AS98" s="192"/>
      <c r="AT98" s="192"/>
      <c r="AU98" s="192"/>
      <c r="AV98" s="192"/>
      <c r="AW98" s="192"/>
      <c r="AX98" s="192"/>
      <c r="AY98" s="192"/>
      <c r="AZ98" s="192"/>
      <c r="BA98" s="192"/>
      <c r="BB98" s="192"/>
      <c r="BC98" s="192"/>
      <c r="BD98" s="192"/>
      <c r="BE98" s="192"/>
      <c r="BF98" s="192"/>
      <c r="BG98" s="192"/>
      <c r="BH98" s="192"/>
      <c r="BI98" s="192"/>
      <c r="BJ98" s="192"/>
      <c r="BK98" s="192"/>
      <c r="BL98" s="192"/>
      <c r="BM98" s="192"/>
      <c r="BN98" s="192"/>
      <c r="BO98" s="192"/>
      <c r="BP98" s="192"/>
      <c r="BQ98" s="192"/>
      <c r="BR98" s="192"/>
      <c r="BS98" s="192"/>
      <c r="BT98" s="192"/>
      <c r="BU98" s="192"/>
      <c r="BV98" s="192"/>
      <c r="BW98" s="192"/>
      <c r="BX98" s="192"/>
    </row>
    <row r="99" spans="1:76">
      <c r="A99" s="192">
        <v>825</v>
      </c>
      <c r="B99" s="192">
        <v>0.89755051675999897</v>
      </c>
      <c r="C99" s="192">
        <v>0.79097544860666602</v>
      </c>
      <c r="D99" s="192">
        <v>0.88547144063333305</v>
      </c>
      <c r="E99" s="192">
        <v>0.88693385314666595</v>
      </c>
      <c r="F99" s="192">
        <v>0.83309611001999895</v>
      </c>
      <c r="G99" s="192">
        <v>0.89510593667333305</v>
      </c>
      <c r="H99" s="192">
        <v>0.807690561933333</v>
      </c>
      <c r="I99" s="192">
        <v>0.84600283305333301</v>
      </c>
      <c r="J99" s="192">
        <v>0.89736074830000001</v>
      </c>
      <c r="K99" s="192">
        <v>0.88811683146666598</v>
      </c>
      <c r="L99" s="192">
        <v>0.87481673684666605</v>
      </c>
      <c r="M99" s="192">
        <v>0.89056793722666605</v>
      </c>
      <c r="N99" s="192">
        <v>0.89478699238000003</v>
      </c>
      <c r="O99" s="192">
        <v>0.89446643574666596</v>
      </c>
      <c r="P99" s="192">
        <v>0.87391097514000005</v>
      </c>
      <c r="Q99" s="192">
        <v>0.85925597635333295</v>
      </c>
      <c r="R99" s="192">
        <v>0.84082629394666597</v>
      </c>
      <c r="S99" s="192">
        <v>0.81972662352666603</v>
      </c>
      <c r="T99" s="192">
        <v>0.829851470946666</v>
      </c>
      <c r="U99" s="192">
        <v>0.84737889608000005</v>
      </c>
      <c r="V99" s="192">
        <v>0.86230319213999995</v>
      </c>
      <c r="W99" s="192">
        <v>0.84583851623333295</v>
      </c>
      <c r="X99" s="192">
        <v>0.84291382853999897</v>
      </c>
      <c r="Y99" s="192">
        <v>0.88833179219999903</v>
      </c>
      <c r="Z99" s="192">
        <v>0.85517113747999896</v>
      </c>
      <c r="AA99" s="192"/>
      <c r="AB99" s="192"/>
      <c r="AC99" s="192"/>
      <c r="AD99" s="192"/>
      <c r="AE99" s="192"/>
      <c r="AF99" s="192"/>
      <c r="AG99" s="192"/>
      <c r="AH99" s="192"/>
      <c r="AI99" s="192"/>
      <c r="AJ99" s="192"/>
      <c r="AK99" s="192"/>
      <c r="AL99" s="192"/>
      <c r="AM99" s="192"/>
      <c r="AN99" s="192"/>
      <c r="AO99" s="192"/>
      <c r="AP99" s="192"/>
      <c r="AQ99" s="192"/>
      <c r="AR99" s="192"/>
      <c r="AS99" s="192"/>
      <c r="AT99" s="192"/>
      <c r="AU99" s="192"/>
      <c r="AV99" s="192"/>
      <c r="AW99" s="192"/>
      <c r="AX99" s="192"/>
      <c r="AY99" s="192"/>
      <c r="AZ99" s="192"/>
      <c r="BA99" s="192"/>
      <c r="BB99" s="192"/>
      <c r="BC99" s="192"/>
      <c r="BD99" s="192"/>
      <c r="BE99" s="192"/>
      <c r="BF99" s="192"/>
      <c r="BG99" s="192"/>
      <c r="BH99" s="192"/>
      <c r="BI99" s="192"/>
      <c r="BJ99" s="192"/>
      <c r="BK99" s="192"/>
      <c r="BL99" s="192"/>
      <c r="BM99" s="192"/>
      <c r="BN99" s="192"/>
      <c r="BO99" s="192"/>
      <c r="BP99" s="192"/>
      <c r="BQ99" s="192"/>
      <c r="BR99" s="192"/>
      <c r="BS99" s="192"/>
      <c r="BT99" s="192"/>
      <c r="BU99" s="192"/>
      <c r="BV99" s="192"/>
      <c r="BW99" s="192"/>
      <c r="BX99" s="192"/>
    </row>
    <row r="100" spans="1:76">
      <c r="A100" s="192">
        <v>830</v>
      </c>
      <c r="B100" s="192">
        <v>0.89961811320666596</v>
      </c>
      <c r="C100" s="192">
        <v>0.80881134541999899</v>
      </c>
      <c r="D100" s="192">
        <v>0.88861304728000001</v>
      </c>
      <c r="E100" s="192">
        <v>0.88985088602666595</v>
      </c>
      <c r="F100" s="192">
        <v>0.84458947753333302</v>
      </c>
      <c r="G100" s="192">
        <v>0.89666229756000004</v>
      </c>
      <c r="H100" s="192">
        <v>0.82328381856666599</v>
      </c>
      <c r="I100" s="192">
        <v>0.855699630746666</v>
      </c>
      <c r="J100" s="192">
        <v>0.89947637430000005</v>
      </c>
      <c r="K100" s="192">
        <v>0.89130697122000002</v>
      </c>
      <c r="L100" s="192">
        <v>0.88044631957999997</v>
      </c>
      <c r="M100" s="192">
        <v>0.89309919737999999</v>
      </c>
      <c r="N100" s="192">
        <v>0.89701505024666595</v>
      </c>
      <c r="O100" s="192">
        <v>0.89662237548666601</v>
      </c>
      <c r="P100" s="192">
        <v>0.87968678284666602</v>
      </c>
      <c r="Q100" s="192">
        <v>0.86657333374000001</v>
      </c>
      <c r="R100" s="192">
        <v>0.85137693786000002</v>
      </c>
      <c r="S100" s="192">
        <v>0.83276146441999899</v>
      </c>
      <c r="T100" s="192">
        <v>0.84148995463333298</v>
      </c>
      <c r="U100" s="192">
        <v>0.85699354552666596</v>
      </c>
      <c r="V100" s="192">
        <v>0.86984436543999999</v>
      </c>
      <c r="W100" s="192">
        <v>0.85491087850000003</v>
      </c>
      <c r="X100" s="192">
        <v>0.85307243856000003</v>
      </c>
      <c r="Y100" s="192">
        <v>0.89148511759333304</v>
      </c>
      <c r="Z100" s="192">
        <v>0.86258838399333304</v>
      </c>
      <c r="AA100" s="192"/>
      <c r="AB100" s="192"/>
      <c r="AC100" s="192"/>
      <c r="AD100" s="192"/>
      <c r="AE100" s="192"/>
      <c r="AF100" s="192"/>
      <c r="AG100" s="192"/>
      <c r="AH100" s="192"/>
      <c r="AI100" s="192"/>
      <c r="AJ100" s="192"/>
      <c r="AK100" s="192"/>
      <c r="AL100" s="192"/>
      <c r="AM100" s="192"/>
      <c r="AN100" s="192"/>
      <c r="AO100" s="192"/>
      <c r="AP100" s="192"/>
      <c r="AQ100" s="192"/>
      <c r="AR100" s="192"/>
      <c r="AS100" s="192"/>
      <c r="AT100" s="192"/>
      <c r="AU100" s="192"/>
      <c r="AV100" s="192"/>
      <c r="AW100" s="192"/>
      <c r="AX100" s="192"/>
      <c r="AY100" s="192"/>
      <c r="AZ100" s="192"/>
      <c r="BA100" s="192"/>
      <c r="BB100" s="192"/>
      <c r="BC100" s="192"/>
      <c r="BD100" s="192"/>
      <c r="BE100" s="192"/>
      <c r="BF100" s="192"/>
      <c r="BG100" s="192"/>
      <c r="BH100" s="192"/>
      <c r="BI100" s="192"/>
      <c r="BJ100" s="192"/>
      <c r="BK100" s="192"/>
      <c r="BL100" s="192"/>
      <c r="BM100" s="192"/>
      <c r="BN100" s="192"/>
      <c r="BO100" s="192"/>
      <c r="BP100" s="192"/>
      <c r="BQ100" s="192"/>
      <c r="BR100" s="192"/>
      <c r="BS100" s="192"/>
      <c r="BT100" s="192"/>
      <c r="BU100" s="192"/>
      <c r="BV100" s="192"/>
      <c r="BW100" s="192"/>
      <c r="BX100" s="192"/>
    </row>
    <row r="101" spans="1:76">
      <c r="A101" s="269" t="s">
        <v>206</v>
      </c>
      <c r="B101" s="272" t="s">
        <v>207</v>
      </c>
      <c r="C101" s="271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192"/>
      <c r="O101" s="192"/>
      <c r="P101" s="192"/>
      <c r="Q101" s="192"/>
      <c r="R101" s="192"/>
      <c r="S101" s="192"/>
      <c r="T101" s="192"/>
      <c r="U101" s="192"/>
      <c r="V101" s="192"/>
      <c r="W101" s="192"/>
      <c r="X101" s="192"/>
      <c r="Y101" s="192"/>
      <c r="Z101" s="192"/>
      <c r="AA101" s="192"/>
      <c r="AB101" s="192"/>
      <c r="AC101" s="192"/>
      <c r="AD101" s="192"/>
      <c r="AE101" s="192"/>
      <c r="AF101" s="192"/>
      <c r="AG101" s="192"/>
      <c r="AH101" s="192"/>
      <c r="AI101" s="192"/>
      <c r="AJ101" s="192"/>
      <c r="AK101" s="192"/>
      <c r="AL101" s="192"/>
      <c r="AM101" s="192"/>
      <c r="AN101" s="192"/>
      <c r="AO101" s="192"/>
      <c r="AP101" s="192"/>
      <c r="AQ101" s="192"/>
      <c r="AR101" s="192"/>
      <c r="AS101" s="192"/>
      <c r="AT101" s="192"/>
      <c r="AU101" s="192"/>
      <c r="AV101" s="192"/>
      <c r="AW101" s="192"/>
      <c r="AX101" s="192"/>
      <c r="AY101" s="192"/>
      <c r="AZ101" s="192"/>
      <c r="BA101" s="192"/>
      <c r="BB101" s="192"/>
      <c r="BC101" s="192"/>
      <c r="BD101" s="192"/>
      <c r="BE101" s="192"/>
      <c r="BF101" s="192"/>
      <c r="BG101" s="192"/>
      <c r="BH101" s="192"/>
      <c r="BI101" s="192"/>
      <c r="BJ101" s="192"/>
      <c r="BK101" s="192"/>
      <c r="BL101" s="192"/>
      <c r="BM101" s="192"/>
      <c r="BN101" s="192"/>
      <c r="BO101" s="192"/>
      <c r="BP101" s="192"/>
      <c r="BQ101" s="192"/>
      <c r="BR101" s="192"/>
      <c r="BS101" s="192"/>
      <c r="BT101" s="192"/>
      <c r="BU101" s="192"/>
      <c r="BV101" s="192"/>
      <c r="BW101" s="192"/>
      <c r="BX101" s="192"/>
    </row>
    <row r="102" spans="1:76">
      <c r="A102" s="193" t="s">
        <v>208</v>
      </c>
      <c r="B102" s="322" t="s">
        <v>229</v>
      </c>
      <c r="C102" s="271"/>
      <c r="D102" s="193"/>
      <c r="E102" s="193"/>
      <c r="F102" s="193"/>
      <c r="G102" s="193"/>
      <c r="H102" s="193"/>
      <c r="I102" s="193"/>
      <c r="J102" s="193"/>
      <c r="K102" s="193"/>
      <c r="L102" s="193"/>
      <c r="M102" s="193"/>
      <c r="N102" s="193"/>
      <c r="O102" s="193"/>
      <c r="P102" s="193"/>
      <c r="Q102" s="193"/>
      <c r="R102" s="193"/>
      <c r="S102" s="193"/>
      <c r="T102" s="193"/>
      <c r="U102" s="193"/>
      <c r="V102" s="193"/>
      <c r="W102" s="193"/>
      <c r="X102" s="193"/>
      <c r="Y102" s="193"/>
      <c r="Z102" s="193"/>
      <c r="AA102" s="193"/>
      <c r="AB102" s="193"/>
      <c r="AC102" s="193"/>
      <c r="AD102" s="193"/>
      <c r="AE102" s="193"/>
      <c r="AF102" s="193"/>
      <c r="AG102" s="193"/>
      <c r="AH102" s="193"/>
      <c r="AI102" s="193"/>
      <c r="AJ102" s="193"/>
      <c r="AK102" s="193"/>
      <c r="AL102" s="193"/>
      <c r="AM102" s="193"/>
      <c r="AN102" s="193"/>
      <c r="AO102" s="193"/>
      <c r="AP102" s="193"/>
      <c r="AQ102" s="193"/>
      <c r="AR102" s="193"/>
      <c r="AS102" s="193"/>
      <c r="AT102" s="193"/>
      <c r="AU102" s="193"/>
      <c r="AV102" s="193"/>
      <c r="AW102" s="193"/>
      <c r="AX102" s="193"/>
      <c r="AY102" s="193"/>
      <c r="AZ102" s="193"/>
      <c r="BA102" s="193"/>
      <c r="BB102" s="193"/>
      <c r="BC102" s="193"/>
      <c r="BD102" s="193"/>
      <c r="BE102" s="193"/>
      <c r="BF102" s="193"/>
      <c r="BG102" s="193"/>
      <c r="BH102" s="193"/>
      <c r="BI102" s="193"/>
      <c r="BJ102" s="193"/>
      <c r="BK102" s="193"/>
      <c r="BL102" s="193"/>
      <c r="BM102" s="193"/>
      <c r="BN102" s="193"/>
      <c r="BO102" s="193"/>
      <c r="BP102" s="193"/>
      <c r="BQ102" s="193"/>
      <c r="BR102" s="193"/>
      <c r="BS102" s="193"/>
      <c r="BT102" s="193"/>
      <c r="BU102" s="193"/>
      <c r="BV102" s="193"/>
      <c r="BW102" s="193"/>
      <c r="BX102" s="193"/>
    </row>
    <row r="103" spans="1:76">
      <c r="A103" s="193" t="s">
        <v>209</v>
      </c>
      <c r="B103" s="321" t="s">
        <v>228</v>
      </c>
      <c r="C103" s="271"/>
      <c r="D103" s="193"/>
      <c r="E103" s="193"/>
      <c r="F103" s="193"/>
      <c r="G103" s="193"/>
      <c r="H103" s="193"/>
      <c r="I103" s="193"/>
      <c r="J103" s="193"/>
      <c r="K103" s="193"/>
      <c r="L103" s="193"/>
      <c r="M103" s="193"/>
      <c r="N103" s="193"/>
      <c r="O103" s="193"/>
      <c r="P103" s="193"/>
      <c r="Q103" s="193"/>
      <c r="R103" s="193"/>
      <c r="S103" s="193"/>
      <c r="T103" s="193"/>
      <c r="U103" s="193"/>
      <c r="V103" s="193"/>
      <c r="W103" s="193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  <c r="AI103" s="193"/>
      <c r="AJ103" s="193"/>
      <c r="AK103" s="193"/>
      <c r="AL103" s="193"/>
      <c r="AM103" s="193"/>
      <c r="AN103" s="193"/>
      <c r="AO103" s="193"/>
      <c r="AP103" s="193"/>
      <c r="AQ103" s="193"/>
      <c r="AR103" s="193"/>
      <c r="AS103" s="193"/>
      <c r="AT103" s="193"/>
      <c r="AU103" s="193"/>
      <c r="AV103" s="193"/>
      <c r="AW103" s="193"/>
      <c r="AX103" s="193"/>
      <c r="AY103" s="193"/>
      <c r="AZ103" s="193"/>
      <c r="BA103" s="193"/>
      <c r="BB103" s="193"/>
      <c r="BC103" s="193"/>
      <c r="BD103" s="193"/>
      <c r="BE103" s="193"/>
      <c r="BF103" s="193"/>
      <c r="BG103" s="193"/>
      <c r="BH103" s="193"/>
      <c r="BI103" s="193"/>
      <c r="BJ103" s="193"/>
      <c r="BK103" s="193"/>
      <c r="BL103" s="193"/>
      <c r="BM103" s="193"/>
      <c r="BN103" s="193"/>
      <c r="BO103" s="193"/>
      <c r="BP103" s="193"/>
      <c r="BQ103" s="193"/>
      <c r="BR103" s="193"/>
      <c r="BS103" s="193"/>
      <c r="BT103" s="193"/>
      <c r="BU103" s="193"/>
      <c r="BV103" s="193"/>
      <c r="BW103" s="193"/>
      <c r="BX103" s="193"/>
    </row>
    <row r="104" spans="1:76">
      <c r="A104" s="193" t="s">
        <v>210</v>
      </c>
      <c r="B104" s="321" t="s">
        <v>225</v>
      </c>
      <c r="C104" s="321" t="s">
        <v>226</v>
      </c>
      <c r="D104" s="193"/>
      <c r="E104" s="193"/>
      <c r="F104" s="193"/>
      <c r="G104" s="193"/>
      <c r="H104" s="193"/>
      <c r="I104" s="193"/>
      <c r="J104" s="193"/>
      <c r="K104" s="193"/>
      <c r="L104" s="193"/>
      <c r="M104" s="193"/>
      <c r="N104" s="193"/>
      <c r="O104" s="193"/>
      <c r="P104" s="193"/>
      <c r="Q104" s="193"/>
      <c r="R104" s="193"/>
      <c r="S104" s="193"/>
      <c r="T104" s="193"/>
      <c r="U104" s="193"/>
      <c r="V104" s="193"/>
      <c r="W104" s="193"/>
      <c r="X104" s="193"/>
      <c r="Y104" s="193"/>
      <c r="Z104" s="193"/>
      <c r="AA104" s="193"/>
      <c r="AB104" s="193"/>
      <c r="AC104" s="193"/>
      <c r="AD104" s="193"/>
      <c r="AE104" s="193"/>
      <c r="AF104" s="193"/>
      <c r="AG104" s="193"/>
      <c r="AH104" s="193"/>
      <c r="AI104" s="193"/>
      <c r="AJ104" s="193"/>
      <c r="AK104" s="193"/>
      <c r="AL104" s="193"/>
      <c r="AM104" s="193"/>
      <c r="AN104" s="193"/>
      <c r="AO104" s="193"/>
      <c r="AP104" s="193"/>
      <c r="AQ104" s="193"/>
      <c r="AR104" s="193"/>
      <c r="AS104" s="193"/>
      <c r="AT104" s="193"/>
      <c r="AU104" s="193"/>
      <c r="AV104" s="193"/>
      <c r="AW104" s="193"/>
      <c r="AX104" s="193"/>
      <c r="AY104" s="193"/>
      <c r="AZ104" s="193"/>
      <c r="BA104" s="193"/>
      <c r="BB104" s="193"/>
      <c r="BC104" s="193"/>
      <c r="BD104" s="193"/>
      <c r="BE104" s="193"/>
      <c r="BF104" s="193"/>
      <c r="BG104" s="193"/>
      <c r="BH104" s="193"/>
      <c r="BI104" s="193"/>
      <c r="BJ104" s="193"/>
      <c r="BK104" s="193"/>
      <c r="BL104" s="193"/>
      <c r="BM104" s="193"/>
      <c r="BN104" s="193"/>
      <c r="BO104" s="193"/>
      <c r="BP104" s="193"/>
      <c r="BQ104" s="193"/>
      <c r="BR104" s="193"/>
      <c r="BS104" s="193"/>
      <c r="BT104" s="193"/>
      <c r="BU104" s="193"/>
      <c r="BV104" s="193"/>
      <c r="BW104" s="193"/>
      <c r="BX104" s="193"/>
    </row>
    <row r="105" spans="1:76">
      <c r="A105" s="191" t="s">
        <v>211</v>
      </c>
      <c r="B105" s="321" t="s">
        <v>227</v>
      </c>
      <c r="C105" s="271"/>
    </row>
    <row r="106" spans="1:76">
      <c r="A106" s="191" t="s">
        <v>212</v>
      </c>
      <c r="B106" s="271" t="s">
        <v>213</v>
      </c>
      <c r="C106" s="271"/>
    </row>
    <row r="107" spans="1:76">
      <c r="A107" s="191" t="s">
        <v>214</v>
      </c>
      <c r="B107" s="271" t="s">
        <v>215</v>
      </c>
      <c r="C107" s="271"/>
    </row>
    <row r="108" spans="1:76">
      <c r="A108" s="262" t="s">
        <v>47</v>
      </c>
      <c r="B108" s="272">
        <v>72</v>
      </c>
      <c r="C108" s="271"/>
    </row>
    <row r="109" spans="1:76">
      <c r="A109" s="262" t="s">
        <v>216</v>
      </c>
      <c r="B109" s="272">
        <v>31</v>
      </c>
      <c r="C109" s="271"/>
    </row>
    <row r="110" spans="1:76">
      <c r="A110" s="262" t="s">
        <v>217</v>
      </c>
      <c r="B110" s="272" t="s">
        <v>218</v>
      </c>
      <c r="C110" s="271" t="s">
        <v>219</v>
      </c>
    </row>
    <row r="111" spans="1:76">
      <c r="A111" s="191" t="s">
        <v>220</v>
      </c>
      <c r="B111" s="271" t="s">
        <v>221</v>
      </c>
      <c r="C111" s="271"/>
    </row>
    <row r="112" spans="1:76">
      <c r="A112" s="191" t="s">
        <v>222</v>
      </c>
      <c r="B112" s="271" t="s">
        <v>223</v>
      </c>
      <c r="C112" s="271"/>
    </row>
    <row r="113" spans="1:3">
      <c r="A113" s="191" t="s">
        <v>224</v>
      </c>
      <c r="B113" s="271">
        <v>0</v>
      </c>
      <c r="C113" s="271"/>
    </row>
    <row r="114" spans="1:3">
      <c r="B114" s="271"/>
      <c r="C114" s="271"/>
    </row>
  </sheetData>
  <sheetProtection algorithmName="SHA-512" hashValue="CIVIhT+2bCKdTW98XKhzYpmDwtUneeeT5n55MIVjEDIAWfEwQrSHQMjC/e9uPjbLM/eRnL7JoBjFJWaTkopHjA==" saltValue="WLZTtT/iTwIPdik9be4g+w==" spinCount="100000" sheet="1" objects="1" scenarios="1"/>
  <conditionalFormatting sqref="E14:J14">
    <cfRule type="expression" priority="1">
      <formula>IF($B$114="1","","Bad")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2:N271"/>
  <sheetViews>
    <sheetView tabSelected="1" view="pageBreakPreview" zoomScaleNormal="100" zoomScaleSheetLayoutView="100" workbookViewId="0">
      <selection activeCell="H13" sqref="H13"/>
    </sheetView>
  </sheetViews>
  <sheetFormatPr defaultColWidth="9.125" defaultRowHeight="14.4"/>
  <cols>
    <col min="1" max="1" width="11.75" style="191" customWidth="1"/>
    <col min="2" max="2" width="8.875" style="232" customWidth="1"/>
    <col min="3" max="16384" width="9.125" style="191"/>
  </cols>
  <sheetData>
    <row r="2" spans="2:13" ht="15.6">
      <c r="B2" s="195"/>
      <c r="C2" s="196"/>
      <c r="D2" s="197"/>
      <c r="E2" s="198"/>
      <c r="F2" s="199"/>
      <c r="G2" s="200"/>
      <c r="H2" s="199"/>
      <c r="I2" s="201"/>
      <c r="J2" s="198"/>
      <c r="K2" s="199"/>
      <c r="L2" s="199"/>
      <c r="M2" s="201"/>
    </row>
    <row r="3" spans="2:13" ht="17.399999999999999">
      <c r="B3" s="202"/>
      <c r="C3" s="203"/>
      <c r="D3" s="204"/>
      <c r="E3" s="205"/>
      <c r="F3" s="206"/>
      <c r="G3" s="207"/>
      <c r="H3" s="206"/>
      <c r="I3" s="208"/>
      <c r="J3" s="205"/>
      <c r="K3" s="206"/>
      <c r="L3" s="206"/>
      <c r="M3" s="208"/>
    </row>
    <row r="4" spans="2:13" ht="15.6">
      <c r="B4" s="202"/>
      <c r="C4" s="203"/>
      <c r="D4" s="204"/>
      <c r="E4" s="205"/>
      <c r="F4" s="206"/>
      <c r="G4" s="209"/>
      <c r="H4" s="206"/>
      <c r="I4" s="208"/>
      <c r="J4" s="205"/>
      <c r="K4" s="206"/>
      <c r="L4" s="206"/>
      <c r="M4" s="208"/>
    </row>
    <row r="5" spans="2:13" ht="15.6">
      <c r="B5" s="202"/>
      <c r="C5" s="203"/>
      <c r="D5" s="204"/>
      <c r="E5" s="205"/>
      <c r="F5" s="206"/>
      <c r="G5" s="209"/>
      <c r="H5" s="206"/>
      <c r="I5" s="208"/>
      <c r="J5" s="205"/>
      <c r="K5" s="206"/>
      <c r="L5" s="206"/>
      <c r="M5" s="208"/>
    </row>
    <row r="6" spans="2:13" ht="15.6">
      <c r="B6" s="210"/>
      <c r="C6" s="211"/>
      <c r="D6" s="212"/>
      <c r="E6" s="213"/>
      <c r="F6" s="214"/>
      <c r="G6" s="215"/>
      <c r="H6" s="214"/>
      <c r="I6" s="216"/>
      <c r="J6" s="283" t="s">
        <v>201</v>
      </c>
      <c r="K6" s="284"/>
      <c r="L6" s="284"/>
      <c r="M6" s="285"/>
    </row>
    <row r="8" spans="2:13">
      <c r="B8" s="217"/>
      <c r="C8" s="200"/>
      <c r="D8" s="218" t="s">
        <v>149</v>
      </c>
      <c r="E8" s="219" t="s">
        <v>150</v>
      </c>
      <c r="F8" s="220"/>
      <c r="G8" s="221"/>
      <c r="I8" s="222"/>
      <c r="J8" s="218" t="s">
        <v>151</v>
      </c>
      <c r="K8" s="287" t="str">
        <f>SpectralData!B103</f>
        <v>27884-01</v>
      </c>
      <c r="L8" s="288"/>
      <c r="M8" s="221"/>
    </row>
    <row r="9" spans="2:13">
      <c r="B9" s="223"/>
      <c r="C9" s="224"/>
      <c r="D9" s="225" t="s">
        <v>152</v>
      </c>
      <c r="E9" s="289" t="str">
        <f>SpectralData!B101</f>
        <v>IAM-9C-00446</v>
      </c>
      <c r="F9" s="290"/>
      <c r="G9" s="221"/>
      <c r="I9" s="226"/>
      <c r="J9" s="225" t="s">
        <v>200</v>
      </c>
      <c r="K9" s="323" t="str">
        <f>SpectralData!B102</f>
        <v>The Chinese University of Hong Kong</v>
      </c>
      <c r="L9" s="279"/>
      <c r="M9" s="221"/>
    </row>
    <row r="10" spans="2:13">
      <c r="B10" s="223"/>
      <c r="C10" s="224"/>
      <c r="D10" s="225" t="s">
        <v>153</v>
      </c>
      <c r="E10" s="270" t="str">
        <f>SpectralData!B110</f>
        <v>Dec-16-2021-11:00</v>
      </c>
      <c r="F10" s="220"/>
      <c r="G10" s="221"/>
      <c r="I10" s="226"/>
      <c r="J10" s="225" t="s">
        <v>154</v>
      </c>
      <c r="K10" s="276">
        <f>SpectralData!B108</f>
        <v>72</v>
      </c>
      <c r="L10" s="280"/>
      <c r="M10" s="221"/>
    </row>
    <row r="11" spans="2:13">
      <c r="B11" s="223"/>
      <c r="C11" s="224"/>
      <c r="D11" s="225" t="s">
        <v>155</v>
      </c>
      <c r="E11" s="282" t="str">
        <f>SpectralData!B111</f>
        <v>IAM-9C-00446.csv</v>
      </c>
      <c r="F11" s="220"/>
      <c r="G11" s="221"/>
      <c r="I11" s="226"/>
      <c r="J11" s="225" t="s">
        <v>156</v>
      </c>
      <c r="K11" s="277">
        <f>SpectralData!B109</f>
        <v>31</v>
      </c>
      <c r="L11" s="280"/>
      <c r="M11" s="221"/>
    </row>
    <row r="12" spans="2:13">
      <c r="B12" s="223"/>
      <c r="C12" s="224"/>
      <c r="D12" s="225" t="s">
        <v>157</v>
      </c>
      <c r="E12" s="219" t="s">
        <v>158</v>
      </c>
      <c r="F12" s="220"/>
      <c r="G12" s="221"/>
      <c r="I12" s="226"/>
      <c r="J12" s="225" t="s">
        <v>159</v>
      </c>
      <c r="K12" s="278" t="str">
        <f>SpectralData!B106</f>
        <v>TSF</v>
      </c>
      <c r="L12" s="279"/>
      <c r="M12" s="221"/>
    </row>
    <row r="13" spans="2:13">
      <c r="B13" s="227"/>
      <c r="C13" s="228"/>
      <c r="D13" s="229" t="s">
        <v>160</v>
      </c>
      <c r="E13" s="219" t="s">
        <v>161</v>
      </c>
      <c r="F13" s="220"/>
      <c r="G13" s="221"/>
      <c r="I13" s="230"/>
      <c r="J13" s="231" t="s">
        <v>162</v>
      </c>
      <c r="K13" s="281" t="str">
        <f>SpectralData!B112</f>
        <v>Ver 1.01.00</v>
      </c>
      <c r="L13" s="279"/>
      <c r="M13" s="221"/>
    </row>
    <row r="14" spans="2:13">
      <c r="E14" s="286" t="str">
        <f>IF(SpectralData!B113=0,"","Agreement Errors!")</f>
        <v/>
      </c>
      <c r="F14" s="286"/>
      <c r="G14" s="286"/>
      <c r="H14" s="286"/>
      <c r="I14" s="286"/>
      <c r="J14" s="286"/>
    </row>
    <row r="15" spans="2:13">
      <c r="E15" s="286" t="str">
        <f>IF(C53&gt;0.3,"Part Loaded Backwards!","")</f>
        <v/>
      </c>
      <c r="F15" s="286"/>
      <c r="G15" s="286"/>
      <c r="H15" s="286"/>
      <c r="I15" s="286"/>
      <c r="J15" s="286"/>
    </row>
    <row r="16" spans="2:13" ht="18">
      <c r="D16" s="233" t="s">
        <v>163</v>
      </c>
      <c r="F16" s="224"/>
    </row>
    <row r="17" spans="1:14" ht="18.600000000000001" thickBot="1">
      <c r="A17" s="224"/>
      <c r="F17" s="234" t="s">
        <v>164</v>
      </c>
    </row>
    <row r="18" spans="1:14">
      <c r="A18" s="235"/>
      <c r="B18" s="236" t="s">
        <v>165</v>
      </c>
      <c r="C18" s="236"/>
      <c r="D18" s="236"/>
      <c r="E18" s="236"/>
      <c r="F18" s="236"/>
      <c r="G18" s="236"/>
      <c r="H18" s="236"/>
      <c r="I18" s="236"/>
      <c r="J18" s="236"/>
      <c r="K18" s="236" t="s">
        <v>166</v>
      </c>
      <c r="L18" s="236" t="s">
        <v>166</v>
      </c>
      <c r="M18" s="236" t="s">
        <v>167</v>
      </c>
      <c r="N18" s="237"/>
    </row>
    <row r="19" spans="1:14" ht="15" thickBot="1">
      <c r="A19" s="238" t="s">
        <v>26</v>
      </c>
      <c r="B19" s="239" t="s">
        <v>168</v>
      </c>
      <c r="C19" s="239" t="s">
        <v>169</v>
      </c>
      <c r="D19" s="239" t="s">
        <v>75</v>
      </c>
      <c r="E19" s="239" t="s">
        <v>170</v>
      </c>
      <c r="F19" s="239" t="s">
        <v>76</v>
      </c>
      <c r="G19" s="239" t="s">
        <v>171</v>
      </c>
      <c r="H19" s="239" t="s">
        <v>77</v>
      </c>
      <c r="I19" s="239" t="s">
        <v>172</v>
      </c>
      <c r="J19" s="239" t="s">
        <v>173</v>
      </c>
      <c r="K19" s="239">
        <v>8</v>
      </c>
      <c r="L19" s="239">
        <v>6.5</v>
      </c>
      <c r="M19" s="239" t="s">
        <v>174</v>
      </c>
      <c r="N19" s="240" t="s">
        <v>175</v>
      </c>
    </row>
    <row r="20" spans="1:14" ht="15" thickBot="1">
      <c r="A20" s="241" t="s">
        <v>53</v>
      </c>
      <c r="B20" s="242" t="s">
        <v>176</v>
      </c>
      <c r="C20" s="243" t="s">
        <v>125</v>
      </c>
      <c r="D20" s="244" t="s">
        <v>126</v>
      </c>
      <c r="E20" s="244" t="s">
        <v>127</v>
      </c>
      <c r="F20" s="244" t="s">
        <v>128</v>
      </c>
      <c r="G20" s="244" t="s">
        <v>129</v>
      </c>
      <c r="H20" s="244" t="s">
        <v>130</v>
      </c>
      <c r="I20" s="244" t="s">
        <v>131</v>
      </c>
      <c r="J20" s="244" t="s">
        <v>132</v>
      </c>
      <c r="K20" s="244" t="s">
        <v>133</v>
      </c>
      <c r="L20" s="244" t="s">
        <v>134</v>
      </c>
      <c r="M20" s="244" t="s">
        <v>135</v>
      </c>
      <c r="N20" s="245" t="s">
        <v>136</v>
      </c>
    </row>
    <row r="21" spans="1:14">
      <c r="A21" s="232">
        <v>340</v>
      </c>
      <c r="B21" s="246">
        <f>SpectralData!B2</f>
        <v>-1.8814399150799899E-5</v>
      </c>
      <c r="C21" s="246">
        <f>SpectralData!C2</f>
        <v>-3.2392496618333401E-6</v>
      </c>
      <c r="D21" s="246">
        <f>SpectralData!D2</f>
        <v>1.4859077411799899E-4</v>
      </c>
      <c r="E21" s="246">
        <f>SpectralData!E2</f>
        <v>-1.24764848333333E-5</v>
      </c>
      <c r="F21" s="246">
        <f>SpectralData!F2</f>
        <v>1.3532889231833299E-5</v>
      </c>
      <c r="G21" s="246">
        <f>SpectralData!G2</f>
        <v>-1.06641862410666E-4</v>
      </c>
      <c r="H21" s="246">
        <f>SpectralData!H2</f>
        <v>9.8765116502166604E-5</v>
      </c>
      <c r="I21" s="246">
        <f>SpectralData!I2</f>
        <v>-3.4771232241666602E-5</v>
      </c>
      <c r="J21" s="246">
        <f>SpectralData!J2</f>
        <v>2.5487565212066602E-5</v>
      </c>
      <c r="K21" s="246">
        <f>SpectralData!K2</f>
        <v>3.16491797206666E-5</v>
      </c>
      <c r="L21" s="246">
        <f>SpectralData!L2</f>
        <v>9.5876252895999906E-5</v>
      </c>
      <c r="M21" s="246">
        <f>SpectralData!M2</f>
        <v>3.0560538298999998E-5</v>
      </c>
      <c r="N21" s="246">
        <f>SpectralData!N2</f>
        <v>7.2447789532333303E-5</v>
      </c>
    </row>
    <row r="22" spans="1:14">
      <c r="A22" s="232">
        <v>345</v>
      </c>
      <c r="B22" s="246">
        <f>SpectralData!B3</f>
        <v>-7.5453756310533295E-5</v>
      </c>
      <c r="C22" s="246">
        <f>SpectralData!C3</f>
        <v>6.8595347487333304E-5</v>
      </c>
      <c r="D22" s="246">
        <f>SpectralData!D3</f>
        <v>-4.3893592454066601E-5</v>
      </c>
      <c r="E22" s="246">
        <f>SpectralData!E3</f>
        <v>-3.2395415385466601E-5</v>
      </c>
      <c r="F22" s="246">
        <f>SpectralData!F3</f>
        <v>3.5873367765333303E-5</v>
      </c>
      <c r="G22" s="246">
        <f>SpectralData!G3</f>
        <v>-1.2764686568666599E-5</v>
      </c>
      <c r="H22" s="246">
        <f>SpectralData!H3</f>
        <v>-8.4227473785333305E-5</v>
      </c>
      <c r="I22" s="246">
        <f>SpectralData!I3</f>
        <v>-2.2476685546666601E-5</v>
      </c>
      <c r="J22" s="246">
        <f>SpectralData!J3</f>
        <v>-3.3846776190533302E-5</v>
      </c>
      <c r="K22" s="246">
        <f>SpectralData!K3</f>
        <v>2.35172747633333E-5</v>
      </c>
      <c r="L22" s="246">
        <f>SpectralData!L3</f>
        <v>3.8951347049066602E-5</v>
      </c>
      <c r="M22" s="246">
        <f>SpectralData!M3</f>
        <v>-3.8809565370666598E-5</v>
      </c>
      <c r="N22" s="246">
        <f>SpectralData!N3</f>
        <v>-8.0256985824666595E-5</v>
      </c>
    </row>
    <row r="23" spans="1:14">
      <c r="A23" s="232">
        <v>350</v>
      </c>
      <c r="B23" s="246">
        <f>SpectralData!B4</f>
        <v>2.0255403407066599E-4</v>
      </c>
      <c r="C23" s="246">
        <f>SpectralData!C4</f>
        <v>1.86264303464066E-4</v>
      </c>
      <c r="D23" s="246">
        <f>SpectralData!D4</f>
        <v>2.2759836570733301E-4</v>
      </c>
      <c r="E23" s="246">
        <f>SpectralData!E4</f>
        <v>2.4219878511594101E-4</v>
      </c>
      <c r="F23" s="246">
        <f>SpectralData!F4</f>
        <v>1.50366099480666E-4</v>
      </c>
      <c r="G23" s="246">
        <f>SpectralData!G4</f>
        <v>3.9430364283266599E-4</v>
      </c>
      <c r="H23" s="246">
        <f>SpectralData!H4</f>
        <v>1.3240263129733301E-4</v>
      </c>
      <c r="I23" s="246">
        <f>SpectralData!I4</f>
        <v>1.7849242284866601E-4</v>
      </c>
      <c r="J23" s="246">
        <f>SpectralData!J4</f>
        <v>1.7226007780399901E-4</v>
      </c>
      <c r="K23" s="246">
        <f>SpectralData!K4</f>
        <v>2.9300290346400001E-4</v>
      </c>
      <c r="L23" s="246">
        <f>SpectralData!L4</f>
        <v>3.2871878720566597E-4</v>
      </c>
      <c r="M23" s="246">
        <f>SpectralData!M4</f>
        <v>1.00685497713266E-4</v>
      </c>
      <c r="N23" s="246">
        <f>SpectralData!N4</f>
        <v>2.3313457952599899E-4</v>
      </c>
    </row>
    <row r="24" spans="1:14">
      <c r="A24" s="232">
        <v>355</v>
      </c>
      <c r="B24" s="246">
        <f>SpectralData!B5</f>
        <v>-1.09610000789999E-4</v>
      </c>
      <c r="C24" s="246">
        <f>SpectralData!C5</f>
        <v>-1.48321964493333E-5</v>
      </c>
      <c r="D24" s="246">
        <f>SpectralData!D5</f>
        <v>1.8772932236E-5</v>
      </c>
      <c r="E24" s="246">
        <f>SpectralData!E5</f>
        <v>-1.21967383660666E-4</v>
      </c>
      <c r="F24" s="246">
        <f>SpectralData!F5</f>
        <v>4.9990075536626603E-5</v>
      </c>
      <c r="G24" s="246">
        <f>SpectralData!G5</f>
        <v>-5.2037745711999898E-5</v>
      </c>
      <c r="H24" s="246">
        <f>SpectralData!H5</f>
        <v>-5.7360382518333299E-5</v>
      </c>
      <c r="I24" s="246">
        <f>SpectralData!I5</f>
        <v>6.0780167421333298E-5</v>
      </c>
      <c r="J24" s="246">
        <f>SpectralData!J5</f>
        <v>4.4283802308499899E-5</v>
      </c>
      <c r="K24" s="246">
        <f>SpectralData!K5</f>
        <v>-6.9367570025999901E-5</v>
      </c>
      <c r="L24" s="246">
        <f>SpectralData!L5</f>
        <v>-1.93191821079999E-5</v>
      </c>
      <c r="M24" s="246">
        <f>SpectralData!M5</f>
        <v>-4.8937934278333301E-6</v>
      </c>
      <c r="N24" s="246">
        <f>SpectralData!N5</f>
        <v>-1.4767641808199899E-4</v>
      </c>
    </row>
    <row r="25" spans="1:14">
      <c r="A25" s="232">
        <v>360</v>
      </c>
      <c r="B25" s="246">
        <f>SpectralData!B6</f>
        <v>5.3196615858666598E-5</v>
      </c>
      <c r="C25" s="246">
        <f>SpectralData!C6</f>
        <v>1.3680087180199899E-4</v>
      </c>
      <c r="D25" s="246">
        <f>SpectralData!D6</f>
        <v>1.7254344194666602E-5</v>
      </c>
      <c r="E25" s="246">
        <f>SpectralData!E6</f>
        <v>1.00903068206666E-4</v>
      </c>
      <c r="F25" s="246">
        <f>SpectralData!F6</f>
        <v>5.9470738399600001E-5</v>
      </c>
      <c r="G25" s="246">
        <f>SpectralData!G6</f>
        <v>2.5832033081333299E-5</v>
      </c>
      <c r="H25" s="246">
        <f>SpectralData!H6</f>
        <v>2.6023976805999901E-5</v>
      </c>
      <c r="I25" s="246">
        <f>SpectralData!I6</f>
        <v>5.9340225219999901E-5</v>
      </c>
      <c r="J25" s="246">
        <f>SpectralData!J6</f>
        <v>5.9746985625333303E-5</v>
      </c>
      <c r="K25" s="246">
        <f>SpectralData!K6</f>
        <v>2.2507405612733301E-5</v>
      </c>
      <c r="L25" s="246">
        <f>SpectralData!L6</f>
        <v>3.8033230533333302E-5</v>
      </c>
      <c r="M25" s="246">
        <f>SpectralData!M6</f>
        <v>-2.6467616674666599E-5</v>
      </c>
      <c r="N25" s="246">
        <f>SpectralData!N6</f>
        <v>5.4144078551999902E-5</v>
      </c>
    </row>
    <row r="26" spans="1:14">
      <c r="A26" s="232">
        <v>365</v>
      </c>
      <c r="B26" s="246">
        <f>SpectralData!B7</f>
        <v>-6.6301081353939902E-5</v>
      </c>
      <c r="C26" s="246">
        <f>SpectralData!C7</f>
        <v>-8.7480920375333302E-5</v>
      </c>
      <c r="D26" s="246">
        <f>SpectralData!D7</f>
        <v>-4.1167755918666597E-5</v>
      </c>
      <c r="E26" s="246">
        <f>SpectralData!E7</f>
        <v>-8.8549864482000005E-5</v>
      </c>
      <c r="F26" s="246">
        <f>SpectralData!F7</f>
        <v>-9.4795185995666496E-6</v>
      </c>
      <c r="G26" s="246">
        <f>SpectralData!G7</f>
        <v>-4.22052186865066E-5</v>
      </c>
      <c r="H26" s="246">
        <f>SpectralData!H7</f>
        <v>-1.12771352121599E-4</v>
      </c>
      <c r="I26" s="246">
        <f>SpectralData!I7</f>
        <v>-1.5838020343046601E-4</v>
      </c>
      <c r="J26" s="246">
        <f>SpectralData!J7</f>
        <v>-4.0609580619133302E-5</v>
      </c>
      <c r="K26" s="246">
        <f>SpectralData!K7</f>
        <v>-8.1370663854533304E-5</v>
      </c>
      <c r="L26" s="246">
        <f>SpectralData!L7</f>
        <v>-2.0764129517999899E-4</v>
      </c>
      <c r="M26" s="246">
        <f>SpectralData!M7</f>
        <v>-1.03123275285666E-4</v>
      </c>
      <c r="N26" s="246">
        <f>SpectralData!N7</f>
        <v>-1.2619850371153299E-4</v>
      </c>
    </row>
    <row r="27" spans="1:14">
      <c r="A27" s="232">
        <v>370</v>
      </c>
      <c r="B27" s="246">
        <f>SpectralData!B8</f>
        <v>9.3895906275333297E-5</v>
      </c>
      <c r="C27" s="246">
        <f>SpectralData!C8</f>
        <v>4.12915011957333E-5</v>
      </c>
      <c r="D27" s="246">
        <f>SpectralData!D8</f>
        <v>-1.32577381388666E-4</v>
      </c>
      <c r="E27" s="246">
        <f>SpectralData!E8</f>
        <v>-1.00972329117333E-4</v>
      </c>
      <c r="F27" s="246">
        <f>SpectralData!F8</f>
        <v>-2.0735159504666599E-5</v>
      </c>
      <c r="G27" s="246">
        <f>SpectralData!G8</f>
        <v>3.2044822184399901E-5</v>
      </c>
      <c r="H27" s="246">
        <f>SpectralData!H8</f>
        <v>-1.3429690613740001E-4</v>
      </c>
      <c r="I27" s="246">
        <f>SpectralData!I8</f>
        <v>4.9084538061466597E-5</v>
      </c>
      <c r="J27" s="246">
        <f>SpectralData!J8</f>
        <v>6.93281029546666E-5</v>
      </c>
      <c r="K27" s="246">
        <f>SpectralData!K8</f>
        <v>-1.64949737535333E-4</v>
      </c>
      <c r="L27" s="246">
        <f>SpectralData!L8</f>
        <v>-3.4419498708666598E-5</v>
      </c>
      <c r="M27" s="246">
        <f>SpectralData!M8</f>
        <v>1.9144675687999901E-5</v>
      </c>
      <c r="N27" s="246">
        <f>SpectralData!N8</f>
        <v>-4.3180175699866599E-5</v>
      </c>
    </row>
    <row r="28" spans="1:14">
      <c r="A28" s="232">
        <v>375</v>
      </c>
      <c r="B28" s="246">
        <f>SpectralData!B9</f>
        <v>-1.43972247085066E-4</v>
      </c>
      <c r="C28" s="246">
        <f>SpectralData!C9</f>
        <v>-1.8752609140399999E-4</v>
      </c>
      <c r="D28" s="246">
        <f>SpectralData!D9</f>
        <v>-2.31447005917999E-4</v>
      </c>
      <c r="E28" s="246">
        <f>SpectralData!E9</f>
        <v>-2.6269805118666597E-4</v>
      </c>
      <c r="F28" s="246">
        <f>SpectralData!F9</f>
        <v>-3.2813526257517299E-4</v>
      </c>
      <c r="G28" s="246">
        <f>SpectralData!G9</f>
        <v>-2.9467272496666602E-4</v>
      </c>
      <c r="H28" s="246">
        <f>SpectralData!H9</f>
        <v>-1.23635465618666E-4</v>
      </c>
      <c r="I28" s="246">
        <f>SpectralData!I9</f>
        <v>-3.49369620846666E-4</v>
      </c>
      <c r="J28" s="246">
        <f>SpectralData!J9</f>
        <v>-3.0270652848666599E-5</v>
      </c>
      <c r="K28" s="246">
        <f>SpectralData!K9</f>
        <v>-1.41125638202533E-4</v>
      </c>
      <c r="L28" s="246">
        <f>SpectralData!L9</f>
        <v>-2.5427505254933298E-4</v>
      </c>
      <c r="M28" s="246">
        <f>SpectralData!M9</f>
        <v>-3.0619273955066599E-4</v>
      </c>
      <c r="N28" s="246">
        <f>SpectralData!N9</f>
        <v>-2.7999413513406598E-4</v>
      </c>
    </row>
    <row r="29" spans="1:14">
      <c r="A29" s="232">
        <v>380</v>
      </c>
      <c r="B29" s="246">
        <f>SpectralData!B10</f>
        <v>3.4437642526999898E-4</v>
      </c>
      <c r="C29" s="246">
        <f>SpectralData!C10</f>
        <v>1.0997370506799901E-4</v>
      </c>
      <c r="D29" s="246">
        <f>SpectralData!D10</f>
        <v>8.8487254136666594E-5</v>
      </c>
      <c r="E29" s="246">
        <f>SpectralData!E10</f>
        <v>1.6533633989066599E-4</v>
      </c>
      <c r="F29" s="246">
        <f>SpectralData!F10</f>
        <v>2.36707842586666E-4</v>
      </c>
      <c r="G29" s="246">
        <f>SpectralData!G10</f>
        <v>1.17373606027999E-4</v>
      </c>
      <c r="H29" s="246">
        <f>SpectralData!H10</f>
        <v>2.6335240269613301E-4</v>
      </c>
      <c r="I29" s="246">
        <f>SpectralData!I10</f>
        <v>3.6181973008666597E-5</v>
      </c>
      <c r="J29" s="246">
        <f>SpectralData!J10</f>
        <v>2.6910883887333299E-4</v>
      </c>
      <c r="K29" s="246">
        <f>SpectralData!K10</f>
        <v>3.0227212744966602E-4</v>
      </c>
      <c r="L29" s="246">
        <f>SpectralData!L10</f>
        <v>2.1838230871666601E-4</v>
      </c>
      <c r="M29" s="246">
        <f>SpectralData!M10</f>
        <v>1.5504535816399901E-4</v>
      </c>
      <c r="N29" s="246">
        <f>SpectralData!N10</f>
        <v>1.8232098377399901E-4</v>
      </c>
    </row>
    <row r="30" spans="1:14">
      <c r="A30" s="232">
        <v>385</v>
      </c>
      <c r="B30" s="246">
        <f>SpectralData!B11</f>
        <v>4.8889030112266604E-4</v>
      </c>
      <c r="C30" s="246">
        <f>SpectralData!C11</f>
        <v>2.9536976259066599E-4</v>
      </c>
      <c r="D30" s="246">
        <f>SpectralData!D11</f>
        <v>2.5562327200000001E-5</v>
      </c>
      <c r="E30" s="246">
        <f>SpectralData!E11</f>
        <v>1.8626769072386601E-4</v>
      </c>
      <c r="F30" s="246">
        <f>SpectralData!F11</f>
        <v>1.46217623573999E-4</v>
      </c>
      <c r="G30" s="246">
        <f>SpectralData!G11</f>
        <v>1.3230888344133301E-4</v>
      </c>
      <c r="H30" s="246">
        <f>SpectralData!H11</f>
        <v>1.8424625990853301E-4</v>
      </c>
      <c r="I30" s="246">
        <f>SpectralData!I11</f>
        <v>2.0421978273066601E-4</v>
      </c>
      <c r="J30" s="246">
        <f>SpectralData!J11</f>
        <v>4.7254810019866598E-4</v>
      </c>
      <c r="K30" s="246">
        <f>SpectralData!K11</f>
        <v>2.9657115399799901E-4</v>
      </c>
      <c r="L30" s="246">
        <f>SpectralData!L11</f>
        <v>2.8474336539593297E-4</v>
      </c>
      <c r="M30" s="246">
        <f>SpectralData!M11</f>
        <v>1.5020034135733299E-4</v>
      </c>
      <c r="N30" s="246">
        <f>SpectralData!N11</f>
        <v>1.87271434513333E-5</v>
      </c>
    </row>
    <row r="31" spans="1:14">
      <c r="A31" s="232">
        <v>390</v>
      </c>
      <c r="B31" s="246">
        <f>SpectralData!B12</f>
        <v>3.1810782801200001E-3</v>
      </c>
      <c r="C31" s="246">
        <f>SpectralData!C12</f>
        <v>9.3783535056000001E-4</v>
      </c>
      <c r="D31" s="246">
        <f>SpectralData!D12</f>
        <v>8.4514875086000004E-4</v>
      </c>
      <c r="E31" s="246">
        <f>SpectralData!E12</f>
        <v>1.72358091665333E-3</v>
      </c>
      <c r="F31" s="246">
        <f>SpectralData!F12</f>
        <v>6.8954903385333303E-4</v>
      </c>
      <c r="G31" s="246">
        <f>SpectralData!G12</f>
        <v>3.7752815307399897E-4</v>
      </c>
      <c r="H31" s="246">
        <f>SpectralData!H12</f>
        <v>9.2296244949999901E-4</v>
      </c>
      <c r="I31" s="246">
        <f>SpectralData!I12</f>
        <v>9.7966520611466592E-4</v>
      </c>
      <c r="J31" s="246">
        <f>SpectralData!J12</f>
        <v>3.3266501725999998E-3</v>
      </c>
      <c r="K31" s="246">
        <f>SpectralData!K12</f>
        <v>2.5219606460199898E-3</v>
      </c>
      <c r="L31" s="246">
        <f>SpectralData!L12</f>
        <v>1.8912773876866599E-3</v>
      </c>
      <c r="M31" s="246">
        <f>SpectralData!M12</f>
        <v>1.16491301857333E-3</v>
      </c>
      <c r="N31" s="246">
        <f>SpectralData!N12</f>
        <v>5.95385558853333E-4</v>
      </c>
    </row>
    <row r="32" spans="1:14">
      <c r="A32" s="232">
        <v>395</v>
      </c>
      <c r="B32" s="246">
        <f>SpectralData!B13</f>
        <v>3.1106112956666598E-2</v>
      </c>
      <c r="C32" s="246">
        <f>SpectralData!C13</f>
        <v>9.4926012949999895E-3</v>
      </c>
      <c r="D32" s="246">
        <f>SpectralData!D13</f>
        <v>6.8519367777333303E-3</v>
      </c>
      <c r="E32" s="246">
        <f>SpectralData!E13</f>
        <v>1.7238905590066599E-2</v>
      </c>
      <c r="F32" s="246">
        <f>SpectralData!F13</f>
        <v>6.5384630453999898E-3</v>
      </c>
      <c r="G32" s="246">
        <f>SpectralData!G13</f>
        <v>3.46819724139999E-3</v>
      </c>
      <c r="H32" s="246">
        <f>SpectralData!H13</f>
        <v>8.9337194559333307E-3</v>
      </c>
      <c r="I32" s="246">
        <f>SpectralData!I13</f>
        <v>9.3799329597333298E-3</v>
      </c>
      <c r="J32" s="246">
        <f>SpectralData!J13</f>
        <v>3.0713673431999901E-2</v>
      </c>
      <c r="K32" s="246">
        <f>SpectralData!K13</f>
        <v>2.4430606086466598E-2</v>
      </c>
      <c r="L32" s="246">
        <f>SpectralData!L13</f>
        <v>1.83377283811333E-2</v>
      </c>
      <c r="M32" s="246">
        <f>SpectralData!M13</f>
        <v>1.1084497391E-2</v>
      </c>
      <c r="N32" s="246">
        <f>SpectralData!N13</f>
        <v>5.93658894293333E-3</v>
      </c>
    </row>
    <row r="33" spans="1:14">
      <c r="A33" s="232">
        <v>400</v>
      </c>
      <c r="B33" s="246">
        <f>SpectralData!B14</f>
        <v>0.14739572206066601</v>
      </c>
      <c r="C33" s="246">
        <f>SpectralData!C14</f>
        <v>4.6565608023999998E-2</v>
      </c>
      <c r="D33" s="246">
        <f>SpectralData!D14</f>
        <v>2.6150053103999898E-2</v>
      </c>
      <c r="E33" s="246">
        <f>SpectralData!E14</f>
        <v>7.3683630939999994E-2</v>
      </c>
      <c r="F33" s="246">
        <f>SpectralData!F14</f>
        <v>2.6975594281333299E-2</v>
      </c>
      <c r="G33" s="246">
        <f>SpectralData!G14</f>
        <v>1.13075911605999E-2</v>
      </c>
      <c r="H33" s="246">
        <f>SpectralData!H14</f>
        <v>4.344265445E-2</v>
      </c>
      <c r="I33" s="246">
        <f>SpectralData!I14</f>
        <v>4.0479265371999897E-2</v>
      </c>
      <c r="J33" s="246">
        <f>SpectralData!J14</f>
        <v>0.143407718974666</v>
      </c>
      <c r="K33" s="246">
        <f>SpectralData!K14</f>
        <v>0.112046237312666</v>
      </c>
      <c r="L33" s="246">
        <f>SpectralData!L14</f>
        <v>8.2638201398666594E-2</v>
      </c>
      <c r="M33" s="246">
        <f>SpectralData!M14</f>
        <v>4.55005118053333E-2</v>
      </c>
      <c r="N33" s="246">
        <f>SpectralData!N14</f>
        <v>2.1807077170000001E-2</v>
      </c>
    </row>
    <row r="34" spans="1:14">
      <c r="A34" s="232">
        <v>405</v>
      </c>
      <c r="B34" s="246">
        <f>SpectralData!B15</f>
        <v>0.33016097259333299</v>
      </c>
      <c r="C34" s="246">
        <f>SpectralData!C15</f>
        <v>0.111397630689333</v>
      </c>
      <c r="D34" s="246">
        <f>SpectralData!D15</f>
        <v>4.5593723456666603E-2</v>
      </c>
      <c r="E34" s="246">
        <f>SpectralData!E15</f>
        <v>0.15051466750666601</v>
      </c>
      <c r="F34" s="246">
        <f>SpectralData!F15</f>
        <v>5.3455249786666603E-2</v>
      </c>
      <c r="G34" s="246">
        <f>SpectralData!G15</f>
        <v>1.73969847366666E-2</v>
      </c>
      <c r="H34" s="246">
        <f>SpectralData!H15</f>
        <v>9.7078412057999997E-2</v>
      </c>
      <c r="I34" s="246">
        <f>SpectralData!I15</f>
        <v>8.2580180803999897E-2</v>
      </c>
      <c r="J34" s="246">
        <f>SpectralData!J15</f>
        <v>0.31670433298</v>
      </c>
      <c r="K34" s="246">
        <f>SpectralData!K15</f>
        <v>0.243115643806666</v>
      </c>
      <c r="L34" s="246">
        <f>SpectralData!L15</f>
        <v>0.17751585451333299</v>
      </c>
      <c r="M34" s="246">
        <f>SpectralData!M15</f>
        <v>8.5419136046666594E-2</v>
      </c>
      <c r="N34" s="246">
        <f>SpectralData!N15</f>
        <v>3.7081712881999997E-2</v>
      </c>
    </row>
    <row r="35" spans="1:14">
      <c r="A35" s="232">
        <v>410</v>
      </c>
      <c r="B35" s="246">
        <f>SpectralData!B16</f>
        <v>0.46969987488666598</v>
      </c>
      <c r="C35" s="246">
        <f>SpectralData!C16</f>
        <v>0.16547666995333299</v>
      </c>
      <c r="D35" s="246">
        <f>SpectralData!D16</f>
        <v>4.9873303414000002E-2</v>
      </c>
      <c r="E35" s="246">
        <f>SpectralData!E16</f>
        <v>0.193707510626666</v>
      </c>
      <c r="F35" s="246">
        <f>SpectralData!F16</f>
        <v>6.5540258725333297E-2</v>
      </c>
      <c r="G35" s="246">
        <f>SpectralData!G16</f>
        <v>1.66402024433333E-2</v>
      </c>
      <c r="H35" s="246">
        <f>SpectralData!H16</f>
        <v>0.13687691624000001</v>
      </c>
      <c r="I35" s="246">
        <f>SpectralData!I16</f>
        <v>0.10512998897333301</v>
      </c>
      <c r="J35" s="246">
        <f>SpectralData!J16</f>
        <v>0.44519523111333298</v>
      </c>
      <c r="K35" s="246">
        <f>SpectralData!K16</f>
        <v>0.33565968068666602</v>
      </c>
      <c r="L35" s="246">
        <f>SpectralData!L16</f>
        <v>0.23941064452666599</v>
      </c>
      <c r="M35" s="246">
        <f>SpectralData!M16</f>
        <v>0.101662944794666</v>
      </c>
      <c r="N35" s="246">
        <f>SpectralData!N16</f>
        <v>3.92289465266666E-2</v>
      </c>
    </row>
    <row r="36" spans="1:14">
      <c r="A36" s="232">
        <v>415</v>
      </c>
      <c r="B36" s="246">
        <f>SpectralData!B17</f>
        <v>0.54320302074666604</v>
      </c>
      <c r="C36" s="246">
        <f>SpectralData!C17</f>
        <v>0.19766163762</v>
      </c>
      <c r="D36" s="246">
        <f>SpectralData!D17</f>
        <v>4.4053811391333297E-2</v>
      </c>
      <c r="E36" s="246">
        <f>SpectralData!E17</f>
        <v>0.20261429723333299</v>
      </c>
      <c r="F36" s="246">
        <f>SpectralData!F17</f>
        <v>6.4421770731333303E-2</v>
      </c>
      <c r="G36" s="246">
        <f>SpectralData!G17</f>
        <v>1.26311057426666E-2</v>
      </c>
      <c r="H36" s="246">
        <f>SpectralData!H17</f>
        <v>0.154765130353333</v>
      </c>
      <c r="I36" s="246">
        <f>SpectralData!I17</f>
        <v>0.10769771704</v>
      </c>
      <c r="J36" s="246">
        <f>SpectralData!J17</f>
        <v>0.50909710946666598</v>
      </c>
      <c r="K36" s="246">
        <f>SpectralData!K17</f>
        <v>0.37562733203999998</v>
      </c>
      <c r="L36" s="246">
        <f>SpectralData!L17</f>
        <v>0.26150668844666602</v>
      </c>
      <c r="M36" s="246">
        <f>SpectralData!M17</f>
        <v>9.7804363258000002E-2</v>
      </c>
      <c r="N36" s="246">
        <f>SpectralData!N17</f>
        <v>3.338091294E-2</v>
      </c>
    </row>
    <row r="37" spans="1:14">
      <c r="A37" s="232">
        <v>420</v>
      </c>
      <c r="B37" s="246">
        <f>SpectralData!B18</f>
        <v>0.57716709391333298</v>
      </c>
      <c r="C37" s="246">
        <f>SpectralData!C18</f>
        <v>0.213861668913333</v>
      </c>
      <c r="D37" s="246">
        <f>SpectralData!D18</f>
        <v>3.5882377624666603E-2</v>
      </c>
      <c r="E37" s="246">
        <f>SpectralData!E18</f>
        <v>0.19426890563333299</v>
      </c>
      <c r="F37" s="246">
        <f>SpectralData!F18</f>
        <v>5.8253394129333301E-2</v>
      </c>
      <c r="G37" s="246">
        <f>SpectralData!G18</f>
        <v>9.1913419962666599E-3</v>
      </c>
      <c r="H37" s="246">
        <f>SpectralData!H18</f>
        <v>0.15895112354666599</v>
      </c>
      <c r="I37" s="246">
        <f>SpectralData!I18</f>
        <v>0.100919930145333</v>
      </c>
      <c r="J37" s="246">
        <f>SpectralData!J18</f>
        <v>0.53690754699999999</v>
      </c>
      <c r="K37" s="246">
        <f>SpectralData!K18</f>
        <v>0.38661929320666599</v>
      </c>
      <c r="L37" s="246">
        <f>SpectralData!L18</f>
        <v>0.26232596587333301</v>
      </c>
      <c r="M37" s="246">
        <f>SpectralData!M18</f>
        <v>8.6458705265999899E-2</v>
      </c>
      <c r="N37" s="246">
        <f>SpectralData!N18</f>
        <v>2.63482775686666E-2</v>
      </c>
    </row>
    <row r="38" spans="1:14">
      <c r="A38" s="232">
        <v>425</v>
      </c>
      <c r="B38" s="246">
        <f>SpectralData!B19</f>
        <v>0.594719884246666</v>
      </c>
      <c r="C38" s="246">
        <f>SpectralData!C19</f>
        <v>0.22258660633999999</v>
      </c>
      <c r="D38" s="246">
        <f>SpectralData!D19</f>
        <v>2.83805828093333E-2</v>
      </c>
      <c r="E38" s="246">
        <f>SpectralData!E19</f>
        <v>0.17967191823333301</v>
      </c>
      <c r="F38" s="246">
        <f>SpectralData!F19</f>
        <v>5.1330813725999999E-2</v>
      </c>
      <c r="G38" s="246">
        <f>SpectralData!G19</f>
        <v>6.4764180183999997E-3</v>
      </c>
      <c r="H38" s="246">
        <f>SpectralData!H19</f>
        <v>0.15631937343999899</v>
      </c>
      <c r="I38" s="246">
        <f>SpectralData!I19</f>
        <v>9.1311355590000004E-2</v>
      </c>
      <c r="J38" s="246">
        <f>SpectralData!J19</f>
        <v>0.549193219506666</v>
      </c>
      <c r="K38" s="246">
        <f>SpectralData!K19</f>
        <v>0.38586182657333301</v>
      </c>
      <c r="L38" s="246">
        <f>SpectralData!L19</f>
        <v>0.254970017753333</v>
      </c>
      <c r="M38" s="246">
        <f>SpectralData!M19</f>
        <v>7.4272639909999993E-2</v>
      </c>
      <c r="N38" s="246">
        <f>SpectralData!N19</f>
        <v>2.04009182446666E-2</v>
      </c>
    </row>
    <row r="39" spans="1:14">
      <c r="A39" s="232">
        <v>430</v>
      </c>
      <c r="B39" s="246">
        <f>SpectralData!B20</f>
        <v>0.605756050106666</v>
      </c>
      <c r="C39" s="246">
        <f>SpectralData!C20</f>
        <v>0.22860157775333301</v>
      </c>
      <c r="D39" s="246">
        <f>SpectralData!D20</f>
        <v>2.29228002233333E-2</v>
      </c>
      <c r="E39" s="246">
        <f>SpectralData!E20</f>
        <v>0.16564458211333299</v>
      </c>
      <c r="F39" s="246">
        <f>SpectralData!F20</f>
        <v>4.5823847453999901E-2</v>
      </c>
      <c r="G39" s="246">
        <f>SpectralData!G20</f>
        <v>4.8034031192000001E-3</v>
      </c>
      <c r="H39" s="246">
        <f>SpectralData!H20</f>
        <v>0.15230895486666601</v>
      </c>
      <c r="I39" s="246">
        <f>SpectralData!I20</f>
        <v>8.2525630313999898E-2</v>
      </c>
      <c r="J39" s="246">
        <f>SpectralData!J20</f>
        <v>0.55610033416666604</v>
      </c>
      <c r="K39" s="246">
        <f>SpectralData!K20</f>
        <v>0.38238393655333303</v>
      </c>
      <c r="L39" s="246">
        <f>SpectralData!L20</f>
        <v>0.24683309174666601</v>
      </c>
      <c r="M39" s="246">
        <f>SpectralData!M20</f>
        <v>6.4272940635999906E-2</v>
      </c>
      <c r="N39" s="246">
        <f>SpectralData!N20</f>
        <v>1.624514556E-2</v>
      </c>
    </row>
    <row r="40" spans="1:14">
      <c r="A40" s="232">
        <v>435</v>
      </c>
      <c r="B40" s="246">
        <f>SpectralData!B21</f>
        <v>0.61441666667999995</v>
      </c>
      <c r="C40" s="246">
        <f>SpectralData!C21</f>
        <v>0.23571087264666599</v>
      </c>
      <c r="D40" s="246">
        <f>SpectralData!D21</f>
        <v>1.96735101526666E-2</v>
      </c>
      <c r="E40" s="246">
        <f>SpectralData!E21</f>
        <v>0.15753211657999899</v>
      </c>
      <c r="F40" s="246">
        <f>SpectralData!F21</f>
        <v>4.2126836459333301E-2</v>
      </c>
      <c r="G40" s="246">
        <f>SpectralData!G21</f>
        <v>3.8833033840666598E-3</v>
      </c>
      <c r="H40" s="246">
        <f>SpectralData!H21</f>
        <v>0.15131565729999899</v>
      </c>
      <c r="I40" s="246">
        <f>SpectralData!I21</f>
        <v>7.7510990461333307E-2</v>
      </c>
      <c r="J40" s="246">
        <f>SpectralData!J21</f>
        <v>0.56165220640666602</v>
      </c>
      <c r="K40" s="246">
        <f>SpectralData!K21</f>
        <v>0.38081528217999899</v>
      </c>
      <c r="L40" s="246">
        <f>SpectralData!L21</f>
        <v>0.24182812245333299</v>
      </c>
      <c r="M40" s="246">
        <f>SpectralData!M21</f>
        <v>5.80329287846666E-2</v>
      </c>
      <c r="N40" s="246">
        <f>SpectralData!N21</f>
        <v>1.3864458798000001E-2</v>
      </c>
    </row>
    <row r="41" spans="1:14">
      <c r="A41" s="232">
        <v>440</v>
      </c>
      <c r="B41" s="246">
        <f>SpectralData!B22</f>
        <v>0.62329709878666595</v>
      </c>
      <c r="C41" s="246">
        <f>SpectralData!C22</f>
        <v>0.245343683886666</v>
      </c>
      <c r="D41" s="246">
        <f>SpectralData!D22</f>
        <v>1.8436637400666599E-2</v>
      </c>
      <c r="E41" s="246">
        <f>SpectralData!E22</f>
        <v>0.15618927701999899</v>
      </c>
      <c r="F41" s="246">
        <f>SpectralData!F22</f>
        <v>4.0399738946666597E-2</v>
      </c>
      <c r="G41" s="246">
        <f>SpectralData!G22</f>
        <v>3.4374969402666601E-3</v>
      </c>
      <c r="H41" s="246">
        <f>SpectralData!H22</f>
        <v>0.15521356010666601</v>
      </c>
      <c r="I41" s="246">
        <f>SpectralData!I22</f>
        <v>7.6390852928666597E-2</v>
      </c>
      <c r="J41" s="246">
        <f>SpectralData!J22</f>
        <v>0.56794826506666596</v>
      </c>
      <c r="K41" s="246">
        <f>SpectralData!K22</f>
        <v>0.38239287312666598</v>
      </c>
      <c r="L41" s="246">
        <f>SpectralData!L22</f>
        <v>0.241335412353333</v>
      </c>
      <c r="M41" s="246">
        <f>SpectralData!M22</f>
        <v>5.5822115897333303E-2</v>
      </c>
      <c r="N41" s="246">
        <f>SpectralData!N22</f>
        <v>1.2685746272E-2</v>
      </c>
    </row>
    <row r="42" spans="1:14">
      <c r="A42" s="232">
        <v>445</v>
      </c>
      <c r="B42" s="246">
        <f>SpectralData!B23</f>
        <v>0.63251224771333303</v>
      </c>
      <c r="C42" s="246">
        <f>SpectralData!C23</f>
        <v>0.25592981847333302</v>
      </c>
      <c r="D42" s="246">
        <f>SpectralData!D23</f>
        <v>1.82947761206666E-2</v>
      </c>
      <c r="E42" s="246">
        <f>SpectralData!E23</f>
        <v>0.158922188446666</v>
      </c>
      <c r="F42" s="246">
        <f>SpectralData!F23</f>
        <v>4.0242224532666598E-2</v>
      </c>
      <c r="G42" s="246">
        <f>SpectralData!G23</f>
        <v>3.2139828006666599E-3</v>
      </c>
      <c r="H42" s="246">
        <f>SpectralData!H23</f>
        <v>0.16197600682666599</v>
      </c>
      <c r="I42" s="246">
        <f>SpectralData!I23</f>
        <v>7.7699111939333307E-2</v>
      </c>
      <c r="J42" s="246">
        <f>SpectralData!J23</f>
        <v>0.57494752502000002</v>
      </c>
      <c r="K42" s="246">
        <f>SpectralData!K23</f>
        <v>0.38686519115333301</v>
      </c>
      <c r="L42" s="246">
        <f>SpectralData!L23</f>
        <v>0.24404035441333299</v>
      </c>
      <c r="M42" s="246">
        <f>SpectralData!M23</f>
        <v>5.5799103736666598E-2</v>
      </c>
      <c r="N42" s="246">
        <f>SpectralData!N23</f>
        <v>1.22583084906666E-2</v>
      </c>
    </row>
    <row r="43" spans="1:14">
      <c r="A43" s="232">
        <v>450</v>
      </c>
      <c r="B43" s="246">
        <f>SpectralData!B24</f>
        <v>0.64343820189333301</v>
      </c>
      <c r="C43" s="246">
        <f>SpectralData!C24</f>
        <v>0.26738774999333298</v>
      </c>
      <c r="D43" s="246">
        <f>SpectralData!D24</f>
        <v>1.86183664793333E-2</v>
      </c>
      <c r="E43" s="246">
        <f>SpectralData!E24</f>
        <v>0.162360778819999</v>
      </c>
      <c r="F43" s="246">
        <f>SpectralData!F24</f>
        <v>4.1397152265333297E-2</v>
      </c>
      <c r="G43" s="246">
        <f>SpectralData!G24</f>
        <v>3.1942744254666602E-3</v>
      </c>
      <c r="H43" s="246">
        <f>SpectralData!H24</f>
        <v>0.16865096536666599</v>
      </c>
      <c r="I43" s="246">
        <f>SpectralData!I24</f>
        <v>8.0050860087333295E-2</v>
      </c>
      <c r="J43" s="246">
        <f>SpectralData!J24</f>
        <v>0.58483989715999896</v>
      </c>
      <c r="K43" s="246">
        <f>SpectralData!K24</f>
        <v>0.39421898397333299</v>
      </c>
      <c r="L43" s="246">
        <f>SpectralData!L24</f>
        <v>0.249522327426666</v>
      </c>
      <c r="M43" s="246">
        <f>SpectralData!M24</f>
        <v>5.6872703233999899E-2</v>
      </c>
      <c r="N43" s="246">
        <f>SpectralData!N24</f>
        <v>1.24057908846666E-2</v>
      </c>
    </row>
    <row r="44" spans="1:14">
      <c r="A44" s="232">
        <v>455</v>
      </c>
      <c r="B44" s="246">
        <f>SpectralData!B25</f>
        <v>0.65461263020000005</v>
      </c>
      <c r="C44" s="246">
        <f>SpectralData!C25</f>
        <v>0.27894762039999899</v>
      </c>
      <c r="D44" s="246">
        <f>SpectralData!D25</f>
        <v>1.9605774481999901E-2</v>
      </c>
      <c r="E44" s="246">
        <f>SpectralData!E25</f>
        <v>0.165098621373333</v>
      </c>
      <c r="F44" s="246">
        <f>SpectralData!F25</f>
        <v>4.4607125600666597E-2</v>
      </c>
      <c r="G44" s="246">
        <f>SpectralData!G25</f>
        <v>3.6732868156666601E-3</v>
      </c>
      <c r="H44" s="246">
        <f>SpectralData!H25</f>
        <v>0.17376422882000001</v>
      </c>
      <c r="I44" s="246">
        <f>SpectralData!I25</f>
        <v>8.3279237746666596E-2</v>
      </c>
      <c r="J44" s="246">
        <f>SpectralData!J25</f>
        <v>0.59591666922666597</v>
      </c>
      <c r="K44" s="246">
        <f>SpectralData!K25</f>
        <v>0.40381207274666597</v>
      </c>
      <c r="L44" s="246">
        <f>SpectralData!L25</f>
        <v>0.25749006271999902</v>
      </c>
      <c r="M44" s="246">
        <f>SpectralData!M25</f>
        <v>5.9070676803333298E-2</v>
      </c>
      <c r="N44" s="246">
        <f>SpectralData!N25</f>
        <v>1.3556538502666599E-2</v>
      </c>
    </row>
    <row r="45" spans="1:14">
      <c r="A45" s="232">
        <v>460</v>
      </c>
      <c r="B45" s="246">
        <f>SpectralData!B26</f>
        <v>0.66439298501999999</v>
      </c>
      <c r="C45" s="246">
        <f>SpectralData!C26</f>
        <v>0.28988823827333299</v>
      </c>
      <c r="D45" s="246">
        <f>SpectralData!D26</f>
        <v>2.1278975485999899E-2</v>
      </c>
      <c r="E45" s="246">
        <f>SpectralData!E26</f>
        <v>0.16708493804666599</v>
      </c>
      <c r="F45" s="246">
        <f>SpectralData!F26</f>
        <v>5.0335518199999901E-2</v>
      </c>
      <c r="G45" s="246">
        <f>SpectralData!G26</f>
        <v>4.6347338756666601E-3</v>
      </c>
      <c r="H45" s="246">
        <f>SpectralData!H26</f>
        <v>0.17744877370666601</v>
      </c>
      <c r="I45" s="246">
        <f>SpectralData!I26</f>
        <v>8.72002137486666E-2</v>
      </c>
      <c r="J45" s="246">
        <f>SpectralData!J26</f>
        <v>0.60702057902666595</v>
      </c>
      <c r="K45" s="246">
        <f>SpectralData!K26</f>
        <v>0.41573961131999998</v>
      </c>
      <c r="L45" s="246">
        <f>SpectralData!L26</f>
        <v>0.26809389114666599</v>
      </c>
      <c r="M45" s="246">
        <f>SpectralData!M26</f>
        <v>6.2499104817333298E-2</v>
      </c>
      <c r="N45" s="246">
        <f>SpectralData!N26</f>
        <v>1.5569592713333301E-2</v>
      </c>
    </row>
    <row r="46" spans="1:14">
      <c r="A46" s="232">
        <v>465</v>
      </c>
      <c r="B46" s="246">
        <f>SpectralData!B27</f>
        <v>0.67386260988000002</v>
      </c>
      <c r="C46" s="246">
        <f>SpectralData!C27</f>
        <v>0.30111475626666601</v>
      </c>
      <c r="D46" s="246">
        <f>SpectralData!D27</f>
        <v>2.3970251719333299E-2</v>
      </c>
      <c r="E46" s="246">
        <f>SpectralData!E27</f>
        <v>0.16887785849333301</v>
      </c>
      <c r="F46" s="246">
        <f>SpectralData!F27</f>
        <v>5.9219406126666603E-2</v>
      </c>
      <c r="G46" s="246">
        <f>SpectralData!G27</f>
        <v>6.2435399690666596E-3</v>
      </c>
      <c r="H46" s="246">
        <f>SpectralData!H27</f>
        <v>0.18007713445333301</v>
      </c>
      <c r="I46" s="246">
        <f>SpectralData!I27</f>
        <v>9.2077147800666601E-2</v>
      </c>
      <c r="J46" s="246">
        <f>SpectralData!J27</f>
        <v>0.618985013333333</v>
      </c>
      <c r="K46" s="246">
        <f>SpectralData!K27</f>
        <v>0.43002107747999901</v>
      </c>
      <c r="L46" s="246">
        <f>SpectralData!L27</f>
        <v>0.28182541911333298</v>
      </c>
      <c r="M46" s="246">
        <f>SpectralData!M27</f>
        <v>6.7283466656000004E-2</v>
      </c>
      <c r="N46" s="246">
        <f>SpectralData!N27</f>
        <v>1.9236860275333299E-2</v>
      </c>
    </row>
    <row r="47" spans="1:14">
      <c r="A47" s="232">
        <v>470</v>
      </c>
      <c r="B47" s="246">
        <f>SpectralData!B28</f>
        <v>0.68189859008666598</v>
      </c>
      <c r="C47" s="246">
        <f>SpectralData!C28</f>
        <v>0.31150086084666601</v>
      </c>
      <c r="D47" s="246">
        <f>SpectralData!D28</f>
        <v>2.72468592326666E-2</v>
      </c>
      <c r="E47" s="246">
        <f>SpectralData!E28</f>
        <v>0.16926094055999899</v>
      </c>
      <c r="F47" s="246">
        <f>SpectralData!F28</f>
        <v>7.1645642599333301E-2</v>
      </c>
      <c r="G47" s="246">
        <f>SpectralData!G28</f>
        <v>9.2414648131333293E-3</v>
      </c>
      <c r="H47" s="246">
        <f>SpectralData!H28</f>
        <v>0.18074845885999999</v>
      </c>
      <c r="I47" s="246">
        <f>SpectralData!I28</f>
        <v>9.7485521952666604E-2</v>
      </c>
      <c r="J47" s="246">
        <f>SpectralData!J28</f>
        <v>0.63036639404000006</v>
      </c>
      <c r="K47" s="246">
        <f>SpectralData!K28</f>
        <v>0.44557610065333297</v>
      </c>
      <c r="L47" s="246">
        <f>SpectralData!L28</f>
        <v>0.29758558656</v>
      </c>
      <c r="M47" s="246">
        <f>SpectralData!M28</f>
        <v>7.3043768246666599E-2</v>
      </c>
      <c r="N47" s="246">
        <f>SpectralData!N28</f>
        <v>2.4482071717333301E-2</v>
      </c>
    </row>
    <row r="48" spans="1:14">
      <c r="A48" s="232">
        <v>475</v>
      </c>
      <c r="B48" s="246">
        <f>SpectralData!B29</f>
        <v>0.68873086039999998</v>
      </c>
      <c r="C48" s="246">
        <f>SpectralData!C29</f>
        <v>0.32049715169333298</v>
      </c>
      <c r="D48" s="246">
        <f>SpectralData!D29</f>
        <v>3.10946427986666E-2</v>
      </c>
      <c r="E48" s="246">
        <f>SpectralData!E29</f>
        <v>0.167896367399999</v>
      </c>
      <c r="F48" s="246">
        <f>SpectralData!F29</f>
        <v>8.8333961486000007E-2</v>
      </c>
      <c r="G48" s="246">
        <f>SpectralData!G29</f>
        <v>1.43131347493333E-2</v>
      </c>
      <c r="H48" s="246">
        <f>SpectralData!H29</f>
        <v>0.17872668076000001</v>
      </c>
      <c r="I48" s="246">
        <f>SpectralData!I29</f>
        <v>0.102764546706666</v>
      </c>
      <c r="J48" s="246">
        <f>SpectralData!J29</f>
        <v>0.64162860871333305</v>
      </c>
      <c r="K48" s="246">
        <f>SpectralData!K29</f>
        <v>0.46201661935999899</v>
      </c>
      <c r="L48" s="246">
        <f>SpectralData!L29</f>
        <v>0.31452083714666601</v>
      </c>
      <c r="M48" s="246">
        <f>SpectralData!M29</f>
        <v>7.9125617346000002E-2</v>
      </c>
      <c r="N48" s="246">
        <f>SpectralData!N29</f>
        <v>3.2010848204666598E-2</v>
      </c>
    </row>
    <row r="49" spans="1:14">
      <c r="A49" s="232">
        <v>480</v>
      </c>
      <c r="B49" s="246">
        <f>SpectralData!B30</f>
        <v>0.694493347159999</v>
      </c>
      <c r="C49" s="246">
        <f>SpectralData!C30</f>
        <v>0.326700790393333</v>
      </c>
      <c r="D49" s="246">
        <f>SpectralData!D30</f>
        <v>3.5052495002666599E-2</v>
      </c>
      <c r="E49" s="246">
        <f>SpectralData!E30</f>
        <v>0.16342589442</v>
      </c>
      <c r="F49" s="246">
        <f>SpectralData!F30</f>
        <v>0.109514396659999</v>
      </c>
      <c r="G49" s="246">
        <f>SpectralData!G30</f>
        <v>2.30362843666666E-2</v>
      </c>
      <c r="H49" s="246">
        <f>SpectralData!H30</f>
        <v>0.17342314657333299</v>
      </c>
      <c r="I49" s="246">
        <f>SpectralData!I30</f>
        <v>0.106480356213333</v>
      </c>
      <c r="J49" s="246">
        <f>SpectralData!J30</f>
        <v>0.65278784179333305</v>
      </c>
      <c r="K49" s="246">
        <f>SpectralData!K30</f>
        <v>0.47818649545333303</v>
      </c>
      <c r="L49" s="246">
        <f>SpectralData!L30</f>
        <v>0.33146290334</v>
      </c>
      <c r="M49" s="246">
        <f>SpectralData!M30</f>
        <v>8.47328281406666E-2</v>
      </c>
      <c r="N49" s="246">
        <f>SpectralData!N30</f>
        <v>4.2349565505333302E-2</v>
      </c>
    </row>
    <row r="50" spans="1:14">
      <c r="A50" s="232">
        <v>485</v>
      </c>
      <c r="B50" s="246">
        <f>SpectralData!B31</f>
        <v>0.69764160665333297</v>
      </c>
      <c r="C50" s="246">
        <f>SpectralData!C31</f>
        <v>0.328098721826666</v>
      </c>
      <c r="D50" s="246">
        <f>SpectralData!D31</f>
        <v>3.8017229239333303E-2</v>
      </c>
      <c r="E50" s="246">
        <f>SpectralData!E31</f>
        <v>0.15475560125333301</v>
      </c>
      <c r="F50" s="246">
        <f>SpectralData!F31</f>
        <v>0.13337259166000001</v>
      </c>
      <c r="G50" s="246">
        <f>SpectralData!G31</f>
        <v>3.5986995219333302E-2</v>
      </c>
      <c r="H50" s="246">
        <f>SpectralData!H31</f>
        <v>0.16379863166</v>
      </c>
      <c r="I50" s="246">
        <f>SpectralData!I31</f>
        <v>0.107101312633333</v>
      </c>
      <c r="J50" s="246">
        <f>SpectralData!J31</f>
        <v>0.66088719686666597</v>
      </c>
      <c r="K50" s="246">
        <f>SpectralData!K31</f>
        <v>0.49096755473333298</v>
      </c>
      <c r="L50" s="246">
        <f>SpectralData!L31</f>
        <v>0.345318819666666</v>
      </c>
      <c r="M50" s="246">
        <f>SpectralData!M31</f>
        <v>8.7932177861333297E-2</v>
      </c>
      <c r="N50" s="246">
        <f>SpectralData!N31</f>
        <v>5.4705302556666599E-2</v>
      </c>
    </row>
    <row r="51" spans="1:14">
      <c r="A51" s="232">
        <v>490</v>
      </c>
      <c r="B51" s="246">
        <f>SpectralData!B32</f>
        <v>0.69784424335999895</v>
      </c>
      <c r="C51" s="246">
        <f>SpectralData!C32</f>
        <v>0.32403085326666597</v>
      </c>
      <c r="D51" s="246">
        <f>SpectralData!D32</f>
        <v>3.9812346142E-2</v>
      </c>
      <c r="E51" s="246">
        <f>SpectralData!E32</f>
        <v>0.14269215392666601</v>
      </c>
      <c r="F51" s="246">
        <f>SpectralData!F32</f>
        <v>0.159617378226666</v>
      </c>
      <c r="G51" s="246">
        <f>SpectralData!G32</f>
        <v>5.6179341315999901E-2</v>
      </c>
      <c r="H51" s="246">
        <f>SpectralData!H32</f>
        <v>0.15046021969999901</v>
      </c>
      <c r="I51" s="246">
        <f>SpectralData!I32</f>
        <v>0.10453280130000001</v>
      </c>
      <c r="J51" s="246">
        <f>SpectralData!J32</f>
        <v>0.66628047688666603</v>
      </c>
      <c r="K51" s="246">
        <f>SpectralData!K32</f>
        <v>0.49993698375999901</v>
      </c>
      <c r="L51" s="246">
        <f>SpectralData!L32</f>
        <v>0.35486208851333301</v>
      </c>
      <c r="M51" s="246">
        <f>SpectralData!M32</f>
        <v>8.84925359093333E-2</v>
      </c>
      <c r="N51" s="246">
        <f>SpectralData!N32</f>
        <v>6.8880797706000002E-2</v>
      </c>
    </row>
    <row r="52" spans="1:14">
      <c r="A52" s="232">
        <v>495</v>
      </c>
      <c r="B52" s="246">
        <f>SpectralData!B33</f>
        <v>0.69609155781999899</v>
      </c>
      <c r="C52" s="246">
        <f>SpectralData!C33</f>
        <v>0.314489944446666</v>
      </c>
      <c r="D52" s="246">
        <f>SpectralData!D33</f>
        <v>3.9423557758000001E-2</v>
      </c>
      <c r="E52" s="246">
        <f>SpectralData!E33</f>
        <v>0.127885180793333</v>
      </c>
      <c r="F52" s="246">
        <f>SpectralData!F33</f>
        <v>0.184626253746666</v>
      </c>
      <c r="G52" s="246">
        <f>SpectralData!G33</f>
        <v>8.3230743091333298E-2</v>
      </c>
      <c r="H52" s="246">
        <f>SpectralData!H33</f>
        <v>0.13434773890000001</v>
      </c>
      <c r="I52" s="246">
        <f>SpectralData!I33</f>
        <v>9.8667741778666607E-2</v>
      </c>
      <c r="J52" s="246">
        <f>SpectralData!J33</f>
        <v>0.66925889587333298</v>
      </c>
      <c r="K52" s="246">
        <f>SpectralData!K33</f>
        <v>0.50446275075333302</v>
      </c>
      <c r="L52" s="246">
        <f>SpectralData!L33</f>
        <v>0.35924625905333302</v>
      </c>
      <c r="M52" s="246">
        <f>SpectralData!M33</f>
        <v>8.5734879174666601E-2</v>
      </c>
      <c r="N52" s="246">
        <f>SpectralData!N33</f>
        <v>8.2822688737333297E-2</v>
      </c>
    </row>
    <row r="53" spans="1:14">
      <c r="A53" s="232">
        <v>500</v>
      </c>
      <c r="B53" s="246">
        <f>SpectralData!B34</f>
        <v>0.69316051227999997</v>
      </c>
      <c r="C53" s="246">
        <f>SpectralData!C34</f>
        <v>0.29996748606666601</v>
      </c>
      <c r="D53" s="246">
        <f>SpectralData!D34</f>
        <v>3.7338669141333297E-2</v>
      </c>
      <c r="E53" s="246">
        <f>SpectralData!E34</f>
        <v>0.11189617220666601</v>
      </c>
      <c r="F53" s="246">
        <f>SpectralData!F34</f>
        <v>0.20756445948666599</v>
      </c>
      <c r="G53" s="246">
        <f>SpectralData!G34</f>
        <v>0.117405923219999</v>
      </c>
      <c r="H53" s="246">
        <f>SpectralData!H34</f>
        <v>0.116788819619999</v>
      </c>
      <c r="I53" s="246">
        <f>SpectralData!I34</f>
        <v>9.0192726771333304E-2</v>
      </c>
      <c r="J53" s="246">
        <f>SpectralData!J34</f>
        <v>0.67058215839333302</v>
      </c>
      <c r="K53" s="246">
        <f>SpectralData!K34</f>
        <v>0.50501814777999898</v>
      </c>
      <c r="L53" s="246">
        <f>SpectralData!L34</f>
        <v>0.35860675811333298</v>
      </c>
      <c r="M53" s="246">
        <f>SpectralData!M34</f>
        <v>8.0256320000666598E-2</v>
      </c>
      <c r="N53" s="246">
        <f>SpectralData!N34</f>
        <v>9.53573023486666E-2</v>
      </c>
    </row>
    <row r="54" spans="1:14">
      <c r="A54" s="232">
        <v>505</v>
      </c>
      <c r="B54" s="246">
        <f>SpectralData!B35</f>
        <v>0.68986321005999895</v>
      </c>
      <c r="C54" s="246">
        <f>SpectralData!C35</f>
        <v>0.28156581877999998</v>
      </c>
      <c r="D54" s="246">
        <f>SpectralData!D35</f>
        <v>3.4502660912000001E-2</v>
      </c>
      <c r="E54" s="246">
        <f>SpectralData!E35</f>
        <v>9.6577531179999995E-2</v>
      </c>
      <c r="F54" s="246">
        <f>SpectralData!F35</f>
        <v>0.22618616486000001</v>
      </c>
      <c r="G54" s="246">
        <f>SpectralData!G35</f>
        <v>0.15732833799333301</v>
      </c>
      <c r="H54" s="246">
        <f>SpectralData!H35</f>
        <v>0.100016945516</v>
      </c>
      <c r="I54" s="246">
        <f>SpectralData!I35</f>
        <v>8.0530354499333295E-2</v>
      </c>
      <c r="J54" s="246">
        <f>SpectralData!J35</f>
        <v>0.67092873128666597</v>
      </c>
      <c r="K54" s="246">
        <f>SpectralData!K35</f>
        <v>0.50222809091333298</v>
      </c>
      <c r="L54" s="246">
        <f>SpectralData!L35</f>
        <v>0.35338231403999998</v>
      </c>
      <c r="M54" s="246">
        <f>SpectralData!M35</f>
        <v>7.3522001583999894E-2</v>
      </c>
      <c r="N54" s="246">
        <f>SpectralData!N35</f>
        <v>0.105519776673333</v>
      </c>
    </row>
    <row r="55" spans="1:14">
      <c r="A55" s="232">
        <v>510</v>
      </c>
      <c r="B55" s="246">
        <f>SpectralData!B36</f>
        <v>0.68656285094000002</v>
      </c>
      <c r="C55" s="246">
        <f>SpectralData!C36</f>
        <v>0.25966900127333298</v>
      </c>
      <c r="D55" s="246">
        <f>SpectralData!D36</f>
        <v>3.0278884885333299E-2</v>
      </c>
      <c r="E55" s="246">
        <f>SpectralData!E36</f>
        <v>8.1695941607999895E-2</v>
      </c>
      <c r="F55" s="246">
        <f>SpectralData!F36</f>
        <v>0.23821689097333301</v>
      </c>
      <c r="G55" s="246">
        <f>SpectralData!G36</f>
        <v>0.19982469176666601</v>
      </c>
      <c r="H55" s="246">
        <f>SpectralData!H36</f>
        <v>8.3490101813333301E-2</v>
      </c>
      <c r="I55" s="246">
        <f>SpectralData!I36</f>
        <v>6.9766564051999894E-2</v>
      </c>
      <c r="J55" s="246">
        <f>SpectralData!J36</f>
        <v>0.66990126037333297</v>
      </c>
      <c r="K55" s="246">
        <f>SpectralData!K36</f>
        <v>0.49580624134666601</v>
      </c>
      <c r="L55" s="246">
        <f>SpectralData!L36</f>
        <v>0.34372762297333298</v>
      </c>
      <c r="M55" s="246">
        <f>SpectralData!M36</f>
        <v>6.5249873479333295E-2</v>
      </c>
      <c r="N55" s="246">
        <f>SpectralData!N36</f>
        <v>0.11158697317333301</v>
      </c>
    </row>
    <row r="56" spans="1:14">
      <c r="A56" s="232">
        <v>515</v>
      </c>
      <c r="B56" s="246">
        <f>SpectralData!B37</f>
        <v>0.68237474568666601</v>
      </c>
      <c r="C56" s="246">
        <f>SpectralData!C37</f>
        <v>0.23598596954666601</v>
      </c>
      <c r="D56" s="246">
        <f>SpectralData!D37</f>
        <v>2.6618749141999999E-2</v>
      </c>
      <c r="E56" s="246">
        <f>SpectralData!E37</f>
        <v>6.9313871383333295E-2</v>
      </c>
      <c r="F56" s="246">
        <f>SpectralData!F37</f>
        <v>0.244159520466666</v>
      </c>
      <c r="G56" s="246">
        <f>SpectralData!G37</f>
        <v>0.24144925308666601</v>
      </c>
      <c r="H56" s="246">
        <f>SpectralData!H37</f>
        <v>6.9393218040666602E-2</v>
      </c>
      <c r="I56" s="246">
        <f>SpectralData!I37</f>
        <v>6.0312446593333298E-2</v>
      </c>
      <c r="J56" s="246">
        <f>SpectralData!J37</f>
        <v>0.66793234762666598</v>
      </c>
      <c r="K56" s="246">
        <f>SpectralData!K37</f>
        <v>0.48704272714666602</v>
      </c>
      <c r="L56" s="246">
        <f>SpectralData!L37</f>
        <v>0.331278536486666</v>
      </c>
      <c r="M56" s="246">
        <f>SpectralData!M37</f>
        <v>5.7610957145999897E-2</v>
      </c>
      <c r="N56" s="246">
        <f>SpectralData!N37</f>
        <v>0.114899438213333</v>
      </c>
    </row>
    <row r="57" spans="1:14">
      <c r="A57" s="232">
        <v>520</v>
      </c>
      <c r="B57" s="246">
        <f>SpectralData!B38</f>
        <v>0.67555086263333297</v>
      </c>
      <c r="C57" s="246">
        <f>SpectralData!C38</f>
        <v>0.211285579693333</v>
      </c>
      <c r="D57" s="246">
        <f>SpectralData!D38</f>
        <v>2.308185657E-2</v>
      </c>
      <c r="E57" s="246">
        <f>SpectralData!E38</f>
        <v>5.8751287460666601E-2</v>
      </c>
      <c r="F57" s="246">
        <f>SpectralData!F38</f>
        <v>0.243408088679999</v>
      </c>
      <c r="G57" s="246">
        <f>SpectralData!G38</f>
        <v>0.27886969375333298</v>
      </c>
      <c r="H57" s="246">
        <f>SpectralData!H38</f>
        <v>5.7332895277999903E-2</v>
      </c>
      <c r="I57" s="246">
        <f>SpectralData!I38</f>
        <v>5.1609508196666598E-2</v>
      </c>
      <c r="J57" s="246">
        <f>SpectralData!J38</f>
        <v>0.66310856629333303</v>
      </c>
      <c r="K57" s="246">
        <f>SpectralData!K38</f>
        <v>0.47515733845999902</v>
      </c>
      <c r="L57" s="246">
        <f>SpectralData!L38</f>
        <v>0.31635636902666597</v>
      </c>
      <c r="M57" s="246">
        <f>SpectralData!M38</f>
        <v>5.0432119688000002E-2</v>
      </c>
      <c r="N57" s="246">
        <f>SpectralData!N38</f>
        <v>0.11477506193333301</v>
      </c>
    </row>
    <row r="58" spans="1:14">
      <c r="A58" s="232">
        <v>525</v>
      </c>
      <c r="B58" s="246">
        <f>SpectralData!B39</f>
        <v>0.66645804341333303</v>
      </c>
      <c r="C58" s="246">
        <f>SpectralData!C39</f>
        <v>0.18668891271333299</v>
      </c>
      <c r="D58" s="246">
        <f>SpectralData!D39</f>
        <v>2.0154233137333302E-2</v>
      </c>
      <c r="E58" s="246">
        <f>SpectralData!E39</f>
        <v>5.0603348096666598E-2</v>
      </c>
      <c r="F58" s="246">
        <f>SpectralData!F39</f>
        <v>0.23708034387999899</v>
      </c>
      <c r="G58" s="246">
        <f>SpectralData!G39</f>
        <v>0.309364607486666</v>
      </c>
      <c r="H58" s="246">
        <f>SpectralData!H39</f>
        <v>4.7478062947999902E-2</v>
      </c>
      <c r="I58" s="246">
        <f>SpectralData!I39</f>
        <v>4.4408267974666599E-2</v>
      </c>
      <c r="J58" s="246">
        <f>SpectralData!J39</f>
        <v>0.65524659729333301</v>
      </c>
      <c r="K58" s="246">
        <f>SpectralData!K39</f>
        <v>0.46093283844666599</v>
      </c>
      <c r="L58" s="246">
        <f>SpectralData!L39</f>
        <v>0.300612147026666</v>
      </c>
      <c r="M58" s="246">
        <f>SpectralData!M39</f>
        <v>4.4673679669333298E-2</v>
      </c>
      <c r="N58" s="246">
        <f>SpectralData!N39</f>
        <v>0.112887056339999</v>
      </c>
    </row>
    <row r="59" spans="1:14">
      <c r="A59" s="232">
        <v>530</v>
      </c>
      <c r="B59" s="246">
        <f>SpectralData!B40</f>
        <v>0.65635281880666596</v>
      </c>
      <c r="C59" s="246">
        <f>SpectralData!C40</f>
        <v>0.16379843965999899</v>
      </c>
      <c r="D59" s="246">
        <f>SpectralData!D40</f>
        <v>1.8076370319333301E-2</v>
      </c>
      <c r="E59" s="246">
        <f>SpectralData!E40</f>
        <v>4.4882338842666597E-2</v>
      </c>
      <c r="F59" s="246">
        <f>SpectralData!F40</f>
        <v>0.22732905451333299</v>
      </c>
      <c r="G59" s="246">
        <f>SpectralData!G40</f>
        <v>0.33310255432666602</v>
      </c>
      <c r="H59" s="246">
        <f>SpectralData!H40</f>
        <v>3.9978167374666598E-2</v>
      </c>
      <c r="I59" s="246">
        <f>SpectralData!I40</f>
        <v>3.8688258807333301E-2</v>
      </c>
      <c r="J59" s="246">
        <f>SpectralData!J40</f>
        <v>0.64614546203999901</v>
      </c>
      <c r="K59" s="246">
        <f>SpectralData!K40</f>
        <v>0.44676926676000001</v>
      </c>
      <c r="L59" s="246">
        <f>SpectralData!L40</f>
        <v>0.28536574808666598</v>
      </c>
      <c r="M59" s="246">
        <f>SpectralData!M40</f>
        <v>4.0293701488666601E-2</v>
      </c>
      <c r="N59" s="246">
        <f>SpectralData!N40</f>
        <v>0.11058330092</v>
      </c>
    </row>
    <row r="60" spans="1:14">
      <c r="A60" s="232">
        <v>535</v>
      </c>
      <c r="B60" s="246">
        <f>SpectralData!B41</f>
        <v>0.64575108844666596</v>
      </c>
      <c r="C60" s="246">
        <f>SpectralData!C41</f>
        <v>0.14294347000666599</v>
      </c>
      <c r="D60" s="246">
        <f>SpectralData!D41</f>
        <v>1.6724314848666599E-2</v>
      </c>
      <c r="E60" s="246">
        <f>SpectralData!E41</f>
        <v>4.1102680205999997E-2</v>
      </c>
      <c r="F60" s="246">
        <f>SpectralData!F41</f>
        <v>0.21567721812000001</v>
      </c>
      <c r="G60" s="246">
        <f>SpectralData!G41</f>
        <v>0.351290804546666</v>
      </c>
      <c r="H60" s="246">
        <f>SpectralData!H41</f>
        <v>3.4246292590666597E-2</v>
      </c>
      <c r="I60" s="246">
        <f>SpectralData!I41</f>
        <v>3.4809591293333303E-2</v>
      </c>
      <c r="J60" s="246">
        <f>SpectralData!J41</f>
        <v>0.63650407156</v>
      </c>
      <c r="K60" s="246">
        <f>SpectralData!K41</f>
        <v>0.433735104893333</v>
      </c>
      <c r="L60" s="246">
        <f>SpectralData!L41</f>
        <v>0.27215375390666602</v>
      </c>
      <c r="M60" s="246">
        <f>SpectralData!M41</f>
        <v>3.7378981906666602E-2</v>
      </c>
      <c r="N60" s="246">
        <f>SpectralData!N41</f>
        <v>0.108882681533333</v>
      </c>
    </row>
    <row r="61" spans="1:14"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</row>
    <row r="62" spans="1:14"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</row>
    <row r="63" spans="1:14"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</row>
    <row r="64" spans="1:14"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</row>
    <row r="65" spans="1:14"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</row>
    <row r="66" spans="1:14" ht="12.75" customHeight="1">
      <c r="A66" s="273"/>
      <c r="B66" s="274"/>
      <c r="C66" s="274"/>
      <c r="D66" s="274"/>
      <c r="E66" s="274"/>
      <c r="F66" s="274"/>
      <c r="G66" s="274"/>
      <c r="H66" s="274"/>
      <c r="I66" s="274"/>
      <c r="J66" s="274"/>
      <c r="K66" s="274"/>
      <c r="L66" s="274"/>
      <c r="M66" s="274"/>
      <c r="N66" s="274"/>
    </row>
    <row r="67" spans="1:14">
      <c r="C67" s="248" t="s">
        <v>205</v>
      </c>
      <c r="D67" s="247"/>
      <c r="E67" s="247"/>
      <c r="F67" s="247"/>
      <c r="G67" s="247"/>
      <c r="H67" s="248" t="s">
        <v>202</v>
      </c>
      <c r="I67" s="247"/>
      <c r="J67" s="247"/>
      <c r="K67" s="247"/>
      <c r="L67" s="224" t="s">
        <v>177</v>
      </c>
      <c r="M67" s="247"/>
      <c r="N67" s="247"/>
    </row>
    <row r="68" spans="1:14"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</row>
    <row r="69" spans="1:14">
      <c r="B69" s="249" t="str">
        <f>$D$8</f>
        <v>Part Number:</v>
      </c>
      <c r="C69" s="191" t="str">
        <f>$E$8</f>
        <v xml:space="preserve"> IAM-9C</v>
      </c>
      <c r="E69" s="249" t="str">
        <f>$D$9</f>
        <v>Serial Number:</v>
      </c>
      <c r="F69" s="286" t="str">
        <f>$E$9</f>
        <v>IAM-9C-00446</v>
      </c>
      <c r="G69" s="286"/>
      <c r="I69" s="249" t="str">
        <f>$D$10</f>
        <v>Calibration Date:</v>
      </c>
      <c r="J69" s="191" t="str">
        <f>SpectralData!C110</f>
        <v>Dec-16-2021</v>
      </c>
      <c r="L69" s="249" t="str">
        <f>$J$8</f>
        <v>Job Number:</v>
      </c>
      <c r="M69" s="250" t="str">
        <f>$K$8</f>
        <v>27884-01</v>
      </c>
    </row>
    <row r="70" spans="1:14">
      <c r="B70" s="249"/>
      <c r="E70" s="249"/>
      <c r="I70" s="249"/>
      <c r="L70" s="249"/>
      <c r="M70" s="250"/>
    </row>
    <row r="71" spans="1:14" ht="15" thickBot="1"/>
    <row r="72" spans="1:14" ht="15" thickBot="1">
      <c r="A72" s="251" t="s">
        <v>26</v>
      </c>
      <c r="B72" s="252" t="s">
        <v>165</v>
      </c>
      <c r="C72" s="252" t="s">
        <v>125</v>
      </c>
      <c r="D72" s="252" t="s">
        <v>126</v>
      </c>
      <c r="E72" s="252" t="s">
        <v>127</v>
      </c>
      <c r="F72" s="252" t="s">
        <v>128</v>
      </c>
      <c r="G72" s="252" t="s">
        <v>129</v>
      </c>
      <c r="H72" s="252" t="s">
        <v>130</v>
      </c>
      <c r="I72" s="252" t="s">
        <v>131</v>
      </c>
      <c r="J72" s="252" t="s">
        <v>132</v>
      </c>
      <c r="K72" s="252" t="s">
        <v>133</v>
      </c>
      <c r="L72" s="252" t="s">
        <v>134</v>
      </c>
      <c r="M72" s="252" t="s">
        <v>135</v>
      </c>
      <c r="N72" s="253" t="s">
        <v>136</v>
      </c>
    </row>
    <row r="73" spans="1:14">
      <c r="A73" s="232">
        <v>540</v>
      </c>
      <c r="B73" s="246">
        <f>SpectralData!B42</f>
        <v>0.63825910187333301</v>
      </c>
      <c r="C73" s="246">
        <f>SpectralData!C42</f>
        <v>0.124408957166666</v>
      </c>
      <c r="D73" s="246">
        <f>SpectralData!D42</f>
        <v>1.6151350418000001E-2</v>
      </c>
      <c r="E73" s="246">
        <f>SpectralData!E42</f>
        <v>3.9158906140666597E-2</v>
      </c>
      <c r="F73" s="246">
        <f>SpectralData!F42</f>
        <v>0.20421642812666599</v>
      </c>
      <c r="G73" s="246">
        <f>SpectralData!G42</f>
        <v>0.36710509745999997</v>
      </c>
      <c r="H73" s="246">
        <f>SpectralData!H42</f>
        <v>3.0217749118666599E-2</v>
      </c>
      <c r="I73" s="246">
        <f>SpectralData!I42</f>
        <v>3.2198963325333299E-2</v>
      </c>
      <c r="J73" s="246">
        <f>SpectralData!J42</f>
        <v>0.62938435364</v>
      </c>
      <c r="K73" s="246">
        <f>SpectralData!K42</f>
        <v>0.424199350993333</v>
      </c>
      <c r="L73" s="246">
        <f>SpectralData!L42</f>
        <v>0.262542846673333</v>
      </c>
      <c r="M73" s="246">
        <f>SpectralData!M42</f>
        <v>3.6149240652000002E-2</v>
      </c>
      <c r="N73" s="246">
        <f>SpectralData!N42</f>
        <v>0.10898848343333301</v>
      </c>
    </row>
    <row r="74" spans="1:14">
      <c r="A74" s="232">
        <v>545</v>
      </c>
      <c r="B74" s="246">
        <f>SpectralData!B43</f>
        <v>0.63456210836666604</v>
      </c>
      <c r="C74" s="246">
        <f>SpectralData!C43</f>
        <v>0.10882408205333299</v>
      </c>
      <c r="D74" s="246">
        <f>SpectralData!D43</f>
        <v>1.6445174773999899E-2</v>
      </c>
      <c r="E74" s="246">
        <f>SpectralData!E43</f>
        <v>3.9138968468000003E-2</v>
      </c>
      <c r="F74" s="246">
        <f>SpectralData!F43</f>
        <v>0.19383915074666599</v>
      </c>
      <c r="G74" s="246">
        <f>SpectralData!G43</f>
        <v>0.38273576101333301</v>
      </c>
      <c r="H74" s="246">
        <f>SpectralData!H43</f>
        <v>2.74400873173333E-2</v>
      </c>
      <c r="I74" s="246">
        <f>SpectralData!I43</f>
        <v>3.0997803051999898E-2</v>
      </c>
      <c r="J74" s="246">
        <f>SpectralData!J43</f>
        <v>0.62620174407333296</v>
      </c>
      <c r="K74" s="246">
        <f>SpectralData!K43</f>
        <v>0.41930385590000002</v>
      </c>
      <c r="L74" s="246">
        <f>SpectralData!L43</f>
        <v>0.25701559194666601</v>
      </c>
      <c r="M74" s="246">
        <f>SpectralData!M43</f>
        <v>3.6337888240666603E-2</v>
      </c>
      <c r="N74" s="246">
        <f>SpectralData!N43</f>
        <v>0.11156429799999899</v>
      </c>
    </row>
    <row r="75" spans="1:14">
      <c r="A75" s="232">
        <v>550</v>
      </c>
      <c r="B75" s="246">
        <f>SpectralData!B44</f>
        <v>0.63407113646666602</v>
      </c>
      <c r="C75" s="246">
        <f>SpectralData!C44</f>
        <v>9.5075410843333305E-2</v>
      </c>
      <c r="D75" s="246">
        <f>SpectralData!D44</f>
        <v>1.7340827146E-2</v>
      </c>
      <c r="E75" s="246">
        <f>SpectralData!E44</f>
        <v>4.0577947456666603E-2</v>
      </c>
      <c r="F75" s="246">
        <f>SpectralData!F44</f>
        <v>0.18449144617333299</v>
      </c>
      <c r="G75" s="246">
        <f>SpectralData!G44</f>
        <v>0.39926929983999998</v>
      </c>
      <c r="H75" s="246">
        <f>SpectralData!H44</f>
        <v>2.5430595238666601E-2</v>
      </c>
      <c r="I75" s="246">
        <f>SpectralData!I44</f>
        <v>3.0579288801333301E-2</v>
      </c>
      <c r="J75" s="246">
        <f>SpectralData!J44</f>
        <v>0.625953295399999</v>
      </c>
      <c r="K75" s="246">
        <f>SpectralData!K44</f>
        <v>0.41852016195333303</v>
      </c>
      <c r="L75" s="246">
        <f>SpectralData!L44</f>
        <v>0.25503724162000002</v>
      </c>
      <c r="M75" s="246">
        <f>SpectralData!M44</f>
        <v>3.8113668124000001E-2</v>
      </c>
      <c r="N75" s="246">
        <f>SpectralData!N44</f>
        <v>0.116846331906666</v>
      </c>
    </row>
    <row r="76" spans="1:14">
      <c r="A76" s="232">
        <v>555</v>
      </c>
      <c r="B76" s="246">
        <f>SpectralData!B45</f>
        <v>0.63559657032666605</v>
      </c>
      <c r="C76" s="246">
        <f>SpectralData!C45</f>
        <v>8.2536071141333295E-2</v>
      </c>
      <c r="D76" s="246">
        <f>SpectralData!D45</f>
        <v>1.9348981143333301E-2</v>
      </c>
      <c r="E76" s="246">
        <f>SpectralData!E45</f>
        <v>4.3749199548666601E-2</v>
      </c>
      <c r="F76" s="246">
        <f>SpectralData!F45</f>
        <v>0.175732013699999</v>
      </c>
      <c r="G76" s="246">
        <f>SpectralData!G45</f>
        <v>0.41746970368666603</v>
      </c>
      <c r="H76" s="246">
        <f>SpectralData!H45</f>
        <v>2.40826783179999E-2</v>
      </c>
      <c r="I76" s="246">
        <f>SpectralData!I45</f>
        <v>3.1246697425999899E-2</v>
      </c>
      <c r="J76" s="246">
        <f>SpectralData!J45</f>
        <v>0.62788785806666603</v>
      </c>
      <c r="K76" s="246">
        <f>SpectralData!K45</f>
        <v>0.42080788931333302</v>
      </c>
      <c r="L76" s="246">
        <f>SpectralData!L45</f>
        <v>0.25620124563333302</v>
      </c>
      <c r="M76" s="246">
        <f>SpectralData!M45</f>
        <v>4.14867486959999E-2</v>
      </c>
      <c r="N76" s="246">
        <f>SpectralData!N45</f>
        <v>0.12532888984000001</v>
      </c>
    </row>
    <row r="77" spans="1:14">
      <c r="A77" s="232">
        <v>560</v>
      </c>
      <c r="B77" s="246">
        <f>SpectralData!B46</f>
        <v>0.636739369706666</v>
      </c>
      <c r="C77" s="246">
        <f>SpectralData!C46</f>
        <v>7.1117506662666599E-2</v>
      </c>
      <c r="D77" s="246">
        <f>SpectralData!D46</f>
        <v>2.2685380934666599E-2</v>
      </c>
      <c r="E77" s="246">
        <f>SpectralData!E46</f>
        <v>4.9431534130666602E-2</v>
      </c>
      <c r="F77" s="246">
        <f>SpectralData!F46</f>
        <v>0.166760974879999</v>
      </c>
      <c r="G77" s="246">
        <f>SpectralData!G46</f>
        <v>0.435830398553333</v>
      </c>
      <c r="H77" s="246">
        <f>SpectralData!H46</f>
        <v>2.3637397766666599E-2</v>
      </c>
      <c r="I77" s="246">
        <f>SpectralData!I46</f>
        <v>3.3198333104666598E-2</v>
      </c>
      <c r="J77" s="246">
        <f>SpectralData!J46</f>
        <v>0.62962815855999898</v>
      </c>
      <c r="K77" s="246">
        <f>SpectralData!K46</f>
        <v>0.42516594187333301</v>
      </c>
      <c r="L77" s="246">
        <f>SpectralData!L46</f>
        <v>0.25951117705333299</v>
      </c>
      <c r="M77" s="246">
        <f>SpectralData!M46</f>
        <v>4.7225418090666597E-2</v>
      </c>
      <c r="N77" s="246">
        <f>SpectralData!N46</f>
        <v>0.13742688687999999</v>
      </c>
    </row>
    <row r="78" spans="1:14">
      <c r="A78" s="232">
        <v>565</v>
      </c>
      <c r="B78" s="246">
        <f>SpectralData!B47</f>
        <v>0.63719895426666595</v>
      </c>
      <c r="C78" s="246">
        <f>SpectralData!C47</f>
        <v>6.0358299572666599E-2</v>
      </c>
      <c r="D78" s="246">
        <f>SpectralData!D47</f>
        <v>2.7196834086666601E-2</v>
      </c>
      <c r="E78" s="246">
        <f>SpectralData!E47</f>
        <v>5.7009836832666597E-2</v>
      </c>
      <c r="F78" s="246">
        <f>SpectralData!F47</f>
        <v>0.15688609378000001</v>
      </c>
      <c r="G78" s="246">
        <f>SpectralData!G47</f>
        <v>0.454778256713333</v>
      </c>
      <c r="H78" s="246">
        <f>SpectralData!H47</f>
        <v>2.2848107019333298E-2</v>
      </c>
      <c r="I78" s="246">
        <f>SpectralData!I47</f>
        <v>3.5438549520000001E-2</v>
      </c>
      <c r="J78" s="246">
        <f>SpectralData!J47</f>
        <v>0.63054181924666597</v>
      </c>
      <c r="K78" s="246">
        <f>SpectralData!K47</f>
        <v>0.43006584168666601</v>
      </c>
      <c r="L78" s="246">
        <f>SpectralData!L47</f>
        <v>0.26357957712000002</v>
      </c>
      <c r="M78" s="246">
        <f>SpectralData!M47</f>
        <v>5.4902987479999998E-2</v>
      </c>
      <c r="N78" s="246">
        <f>SpectralData!N47</f>
        <v>0.15253594652666599</v>
      </c>
    </row>
    <row r="79" spans="1:14">
      <c r="A79" s="232">
        <v>570</v>
      </c>
      <c r="B79" s="246">
        <f>SpectralData!B48</f>
        <v>0.63592142232666604</v>
      </c>
      <c r="C79" s="246">
        <f>SpectralData!C48</f>
        <v>5.0401310920666603E-2</v>
      </c>
      <c r="D79" s="246">
        <f>SpectralData!D48</f>
        <v>3.3868885358666598E-2</v>
      </c>
      <c r="E79" s="246">
        <f>SpectralData!E48</f>
        <v>6.7826505661333303E-2</v>
      </c>
      <c r="F79" s="246">
        <f>SpectralData!F48</f>
        <v>0.14680626359999899</v>
      </c>
      <c r="G79" s="246">
        <f>SpectralData!G48</f>
        <v>0.47356931813999897</v>
      </c>
      <c r="H79" s="246">
        <f>SpectralData!H48</f>
        <v>2.26271704026666E-2</v>
      </c>
      <c r="I79" s="246">
        <f>SpectralData!I48</f>
        <v>3.9020858287999997E-2</v>
      </c>
      <c r="J79" s="246">
        <f>SpectralData!J48</f>
        <v>0.62952790323333296</v>
      </c>
      <c r="K79" s="246">
        <f>SpectralData!K48</f>
        <v>0.43502728272000002</v>
      </c>
      <c r="L79" s="246">
        <f>SpectralData!L48</f>
        <v>0.26869202551333299</v>
      </c>
      <c r="M79" s="246">
        <f>SpectralData!M48</f>
        <v>6.5680445670666596E-2</v>
      </c>
      <c r="N79" s="246">
        <f>SpectralData!N48</f>
        <v>0.17221078109999899</v>
      </c>
    </row>
    <row r="80" spans="1:14">
      <c r="A80" s="232">
        <v>575</v>
      </c>
      <c r="B80" s="246">
        <f>SpectralData!B49</f>
        <v>0.63501386260666604</v>
      </c>
      <c r="C80" s="246">
        <f>SpectralData!C49</f>
        <v>4.1357681431999901E-2</v>
      </c>
      <c r="D80" s="246">
        <f>SpectralData!D49</f>
        <v>4.3243330637999997E-2</v>
      </c>
      <c r="E80" s="246">
        <f>SpectralData!E49</f>
        <v>8.17746181486666E-2</v>
      </c>
      <c r="F80" s="246">
        <f>SpectralData!F49</f>
        <v>0.13608826764000001</v>
      </c>
      <c r="G80" s="246">
        <f>SpectralData!G49</f>
        <v>0.49350526428666602</v>
      </c>
      <c r="H80" s="246">
        <f>SpectralData!H49</f>
        <v>2.2090475082666601E-2</v>
      </c>
      <c r="I80" s="246">
        <f>SpectralData!I49</f>
        <v>4.31233634953333E-2</v>
      </c>
      <c r="J80" s="246">
        <f>SpectralData!J49</f>
        <v>0.62934102629999999</v>
      </c>
      <c r="K80" s="246">
        <f>SpectralData!K49</f>
        <v>0.44045088959333301</v>
      </c>
      <c r="L80" s="246">
        <f>SpectralData!L49</f>
        <v>0.27435144806</v>
      </c>
      <c r="M80" s="246">
        <f>SpectralData!M49</f>
        <v>7.9857177417333294E-2</v>
      </c>
      <c r="N80" s="246">
        <f>SpectralData!N49</f>
        <v>0.19597162500666601</v>
      </c>
    </row>
    <row r="81" spans="1:14">
      <c r="A81" s="232">
        <v>580</v>
      </c>
      <c r="B81" s="246">
        <f>SpectralData!B50</f>
        <v>0.63447957101333297</v>
      </c>
      <c r="C81" s="246">
        <f>SpectralData!C50</f>
        <v>3.3158266226000002E-2</v>
      </c>
      <c r="D81" s="246">
        <f>SpectralData!D50</f>
        <v>5.5998965263333297E-2</v>
      </c>
      <c r="E81" s="246">
        <f>SpectralData!E50</f>
        <v>0.100437815982666</v>
      </c>
      <c r="F81" s="246">
        <f>SpectralData!F50</f>
        <v>0.12468795267333301</v>
      </c>
      <c r="G81" s="246">
        <f>SpectralData!G50</f>
        <v>0.51425469969999904</v>
      </c>
      <c r="H81" s="246">
        <f>SpectralData!H50</f>
        <v>2.1385790665333301E-2</v>
      </c>
      <c r="I81" s="246">
        <f>SpectralData!I50</f>
        <v>4.7792541504666601E-2</v>
      </c>
      <c r="J81" s="246">
        <f>SpectralData!J50</f>
        <v>0.629131810506666</v>
      </c>
      <c r="K81" s="246">
        <f>SpectralData!K50</f>
        <v>0.44572341665333298</v>
      </c>
      <c r="L81" s="246">
        <f>SpectralData!L50</f>
        <v>0.27980963006666598</v>
      </c>
      <c r="M81" s="246">
        <f>SpectralData!M50</f>
        <v>9.8653632478666597E-2</v>
      </c>
      <c r="N81" s="246">
        <f>SpectralData!N50</f>
        <v>0.225000747686666</v>
      </c>
    </row>
    <row r="82" spans="1:14">
      <c r="A82" s="232">
        <v>585</v>
      </c>
      <c r="B82" s="246">
        <f>SpectralData!B51</f>
        <v>0.63646278888666596</v>
      </c>
      <c r="C82" s="246">
        <f>SpectralData!C51</f>
        <v>2.66846917466666E-2</v>
      </c>
      <c r="D82" s="246">
        <f>SpectralData!D51</f>
        <v>7.4314778646000001E-2</v>
      </c>
      <c r="E82" s="246">
        <f>SpectralData!E51</f>
        <v>0.125567629493333</v>
      </c>
      <c r="F82" s="246">
        <f>SpectralData!F51</f>
        <v>0.113640812553333</v>
      </c>
      <c r="G82" s="246">
        <f>SpectralData!G51</f>
        <v>0.53772599284</v>
      </c>
      <c r="H82" s="246">
        <f>SpectralData!H51</f>
        <v>2.1219323159333298E-2</v>
      </c>
      <c r="I82" s="246">
        <f>SpectralData!I51</f>
        <v>5.33059005739999E-2</v>
      </c>
      <c r="J82" s="246">
        <f>SpectralData!J51</f>
        <v>0.63187742106</v>
      </c>
      <c r="K82" s="246">
        <f>SpectralData!K51</f>
        <v>0.45226967874666602</v>
      </c>
      <c r="L82" s="246">
        <f>SpectralData!L51</f>
        <v>0.28560736211999999</v>
      </c>
      <c r="M82" s="246">
        <f>SpectralData!M51</f>
        <v>0.123774218246666</v>
      </c>
      <c r="N82" s="246">
        <f>SpectralData!N51</f>
        <v>0.26061139933999899</v>
      </c>
    </row>
    <row r="83" spans="1:14">
      <c r="A83" s="232">
        <v>590</v>
      </c>
      <c r="B83" s="246">
        <f>SpectralData!B52</f>
        <v>0.64175509897333305</v>
      </c>
      <c r="C83" s="246">
        <f>SpectralData!C52</f>
        <v>2.0844461121999901E-2</v>
      </c>
      <c r="D83" s="246">
        <f>SpectralData!D52</f>
        <v>9.8426511772666606E-2</v>
      </c>
      <c r="E83" s="246">
        <f>SpectralData!E52</f>
        <v>0.156173371626666</v>
      </c>
      <c r="F83" s="246">
        <f>SpectralData!F52</f>
        <v>0.102712888079333</v>
      </c>
      <c r="G83" s="246">
        <f>SpectralData!G52</f>
        <v>0.56368807475333305</v>
      </c>
      <c r="H83" s="246">
        <f>SpectralData!H52</f>
        <v>2.04095904026666E-2</v>
      </c>
      <c r="I83" s="246">
        <f>SpectralData!I52</f>
        <v>5.9114802677999997E-2</v>
      </c>
      <c r="J83" s="246">
        <f>SpectralData!J52</f>
        <v>0.63728457642000003</v>
      </c>
      <c r="K83" s="246">
        <f>SpectralData!K52</f>
        <v>0.46009311929333302</v>
      </c>
      <c r="L83" s="246">
        <f>SpectralData!L52</f>
        <v>0.29138461177333302</v>
      </c>
      <c r="M83" s="246">
        <f>SpectralData!M52</f>
        <v>0.15560471343999999</v>
      </c>
      <c r="N83" s="246">
        <f>SpectralData!N52</f>
        <v>0.30214785131333299</v>
      </c>
    </row>
    <row r="84" spans="1:14">
      <c r="A84" s="232">
        <v>595</v>
      </c>
      <c r="B84" s="246">
        <f>SpectralData!B53</f>
        <v>0.64773892211999995</v>
      </c>
      <c r="C84" s="246">
        <f>SpectralData!C53</f>
        <v>1.6457672358666599E-2</v>
      </c>
      <c r="D84" s="246">
        <f>SpectralData!D53</f>
        <v>0.128941995613333</v>
      </c>
      <c r="E84" s="246">
        <f>SpectralData!E53</f>
        <v>0.19255125428</v>
      </c>
      <c r="F84" s="246">
        <f>SpectralData!F53</f>
        <v>9.1904137295333296E-2</v>
      </c>
      <c r="G84" s="246">
        <f>SpectralData!G53</f>
        <v>0.58930640157333303</v>
      </c>
      <c r="H84" s="246">
        <f>SpectralData!H53</f>
        <v>1.9358128547333299E-2</v>
      </c>
      <c r="I84" s="246">
        <f>SpectralData!I53</f>
        <v>6.4348671277333305E-2</v>
      </c>
      <c r="J84" s="246">
        <f>SpectralData!J53</f>
        <v>0.64379690551333302</v>
      </c>
      <c r="K84" s="246">
        <f>SpectralData!K53</f>
        <v>0.46648940784666598</v>
      </c>
      <c r="L84" s="246">
        <f>SpectralData!L53</f>
        <v>0.29520263164666599</v>
      </c>
      <c r="M84" s="246">
        <f>SpectralData!M53</f>
        <v>0.19276641846666601</v>
      </c>
      <c r="N84" s="246">
        <f>SpectralData!N53</f>
        <v>0.346583557126666</v>
      </c>
    </row>
    <row r="85" spans="1:14">
      <c r="A85" s="232">
        <v>600</v>
      </c>
      <c r="B85" s="246">
        <f>SpectralData!B54</f>
        <v>0.65266474914666595</v>
      </c>
      <c r="C85" s="246">
        <f>SpectralData!C54</f>
        <v>1.22953654933333E-2</v>
      </c>
      <c r="D85" s="246">
        <f>SpectralData!D54</f>
        <v>0.16351513798</v>
      </c>
      <c r="E85" s="246">
        <f>SpectralData!E54</f>
        <v>0.23159143065999999</v>
      </c>
      <c r="F85" s="246">
        <f>SpectralData!F54</f>
        <v>8.0846582093999905E-2</v>
      </c>
      <c r="G85" s="246">
        <f>SpectralData!G54</f>
        <v>0.61182138062000002</v>
      </c>
      <c r="H85" s="246">
        <f>SpectralData!H54</f>
        <v>1.76252255433333E-2</v>
      </c>
      <c r="I85" s="246">
        <f>SpectralData!I54</f>
        <v>6.8392166137333302E-2</v>
      </c>
      <c r="J85" s="246">
        <f>SpectralData!J54</f>
        <v>0.64874767556666602</v>
      </c>
      <c r="K85" s="246">
        <f>SpectralData!K54</f>
        <v>0.46991738637333302</v>
      </c>
      <c r="L85" s="246">
        <f>SpectralData!L54</f>
        <v>0.29535376867333302</v>
      </c>
      <c r="M85" s="246">
        <f>SpectralData!M54</f>
        <v>0.232874726613333</v>
      </c>
      <c r="N85" s="246">
        <f>SpectralData!N54</f>
        <v>0.39118725586666597</v>
      </c>
    </row>
    <row r="86" spans="1:14">
      <c r="A86" s="232">
        <v>605</v>
      </c>
      <c r="B86" s="246">
        <f>SpectralData!B55</f>
        <v>0.65342301942000003</v>
      </c>
      <c r="C86" s="246">
        <f>SpectralData!C55</f>
        <v>9.9982479411333293E-3</v>
      </c>
      <c r="D86" s="246">
        <f>SpectralData!D55</f>
        <v>0.20014967217999899</v>
      </c>
      <c r="E86" s="246">
        <f>SpectralData!E55</f>
        <v>0.27039226532666599</v>
      </c>
      <c r="F86" s="246">
        <f>SpectralData!F55</f>
        <v>7.1045432727333296E-2</v>
      </c>
      <c r="G86" s="246">
        <f>SpectralData!G55</f>
        <v>0.62864494323999898</v>
      </c>
      <c r="H86" s="246">
        <f>SpectralData!H55</f>
        <v>1.6509059111999898E-2</v>
      </c>
      <c r="I86" s="246">
        <f>SpectralData!I55</f>
        <v>7.0774175960666597E-2</v>
      </c>
      <c r="J86" s="246">
        <f>SpectralData!J55</f>
        <v>0.65006152852666599</v>
      </c>
      <c r="K86" s="246">
        <f>SpectralData!K55</f>
        <v>0.469072189333333</v>
      </c>
      <c r="L86" s="246">
        <f>SpectralData!L55</f>
        <v>0.29218707784666598</v>
      </c>
      <c r="M86" s="246">
        <f>SpectralData!M55</f>
        <v>0.273060493459999</v>
      </c>
      <c r="N86" s="246">
        <f>SpectralData!N55</f>
        <v>0.43209110006666601</v>
      </c>
    </row>
    <row r="87" spans="1:14">
      <c r="A87" s="232">
        <v>610</v>
      </c>
      <c r="B87" s="246">
        <f>SpectralData!B56</f>
        <v>0.64823866779999995</v>
      </c>
      <c r="C87" s="246">
        <f>SpectralData!C56</f>
        <v>7.4627130031333297E-3</v>
      </c>
      <c r="D87" s="246">
        <f>SpectralData!D56</f>
        <v>0.23459286880666599</v>
      </c>
      <c r="E87" s="246">
        <f>SpectralData!E56</f>
        <v>0.30432692590666599</v>
      </c>
      <c r="F87" s="246">
        <f>SpectralData!F56</f>
        <v>6.1286552746666598E-2</v>
      </c>
      <c r="G87" s="246">
        <f>SpectralData!G56</f>
        <v>0.63774581145333298</v>
      </c>
      <c r="H87" s="246">
        <f>SpectralData!H56</f>
        <v>1.4427424431999901E-2</v>
      </c>
      <c r="I87" s="246">
        <f>SpectralData!I56</f>
        <v>7.0488671303333306E-2</v>
      </c>
      <c r="J87" s="246">
        <f>SpectralData!J56</f>
        <v>0.64524959310666596</v>
      </c>
      <c r="K87" s="246">
        <f>SpectralData!K56</f>
        <v>0.462046005246666</v>
      </c>
      <c r="L87" s="246">
        <f>SpectralData!L56</f>
        <v>0.28401775996</v>
      </c>
      <c r="M87" s="246">
        <f>SpectralData!M56</f>
        <v>0.309028160093333</v>
      </c>
      <c r="N87" s="246">
        <f>SpectralData!N56</f>
        <v>0.465203730266666</v>
      </c>
    </row>
    <row r="88" spans="1:14">
      <c r="A88" s="232">
        <v>615</v>
      </c>
      <c r="B88" s="246">
        <f>SpectralData!B57</f>
        <v>0.63935016631333297</v>
      </c>
      <c r="C88" s="246">
        <f>SpectralData!C57</f>
        <v>5.6665813525333302E-3</v>
      </c>
      <c r="D88" s="246">
        <f>SpectralData!D57</f>
        <v>0.26546371967333299</v>
      </c>
      <c r="E88" s="246">
        <f>SpectralData!E57</f>
        <v>0.33324262237333302</v>
      </c>
      <c r="F88" s="246">
        <f>SpectralData!F57</f>
        <v>5.2738794644666603E-2</v>
      </c>
      <c r="G88" s="246">
        <f>SpectralData!G57</f>
        <v>0.64106136830666605</v>
      </c>
      <c r="H88" s="246">
        <f>SpectralData!H57</f>
        <v>1.2455900987333301E-2</v>
      </c>
      <c r="I88" s="246">
        <f>SpectralData!I57</f>
        <v>6.8728372575333305E-2</v>
      </c>
      <c r="J88" s="246">
        <f>SpectralData!J57</f>
        <v>0.63632748158666597</v>
      </c>
      <c r="K88" s="246">
        <f>SpectralData!K57</f>
        <v>0.45130811310000002</v>
      </c>
      <c r="L88" s="246">
        <f>SpectralData!L57</f>
        <v>0.27306329982666599</v>
      </c>
      <c r="M88" s="246">
        <f>SpectralData!M57</f>
        <v>0.33961203765333298</v>
      </c>
      <c r="N88" s="246">
        <f>SpectralData!N57</f>
        <v>0.49139578246666599</v>
      </c>
    </row>
    <row r="89" spans="1:14">
      <c r="A89" s="232">
        <v>620</v>
      </c>
      <c r="B89" s="246">
        <f>SpectralData!B58</f>
        <v>0.62794167073999896</v>
      </c>
      <c r="C89" s="246">
        <f>SpectralData!C58</f>
        <v>4.5226156910000001E-3</v>
      </c>
      <c r="D89" s="246">
        <f>SpectralData!D58</f>
        <v>0.29220647684666601</v>
      </c>
      <c r="E89" s="246">
        <f>SpectralData!E58</f>
        <v>0.35646603648000003</v>
      </c>
      <c r="F89" s="246">
        <f>SpectralData!F58</f>
        <v>4.5557886759333303E-2</v>
      </c>
      <c r="G89" s="246">
        <f>SpectralData!G58</f>
        <v>0.64046399941999999</v>
      </c>
      <c r="H89" s="246">
        <f>SpectralData!H58</f>
        <v>1.1008110285933299E-2</v>
      </c>
      <c r="I89" s="246">
        <f>SpectralData!I58</f>
        <v>6.6382340748666599E-2</v>
      </c>
      <c r="J89" s="246">
        <f>SpectralData!J58</f>
        <v>0.62535458120666598</v>
      </c>
      <c r="K89" s="246">
        <f>SpectralData!K58</f>
        <v>0.438732823686666</v>
      </c>
      <c r="L89" s="246">
        <f>SpectralData!L58</f>
        <v>0.26116219456666601</v>
      </c>
      <c r="M89" s="246">
        <f>SpectralData!M58</f>
        <v>0.36468925219999998</v>
      </c>
      <c r="N89" s="246">
        <f>SpectralData!N58</f>
        <v>0.51103569030666596</v>
      </c>
    </row>
    <row r="90" spans="1:14">
      <c r="A90" s="232">
        <v>625</v>
      </c>
      <c r="B90" s="246">
        <f>SpectralData!B59</f>
        <v>0.61518297574666603</v>
      </c>
      <c r="C90" s="246">
        <f>SpectralData!C59</f>
        <v>3.6101723809333301E-3</v>
      </c>
      <c r="D90" s="246">
        <f>SpectralData!D59</f>
        <v>0.31340387343999998</v>
      </c>
      <c r="E90" s="246">
        <f>SpectralData!E59</f>
        <v>0.374016672766666</v>
      </c>
      <c r="F90" s="246">
        <f>SpectralData!F59</f>
        <v>3.9983806291999997E-2</v>
      </c>
      <c r="G90" s="246">
        <f>SpectralData!G59</f>
        <v>0.63655501302666595</v>
      </c>
      <c r="H90" s="246">
        <f>SpectralData!H59</f>
        <v>9.97875762066666E-3</v>
      </c>
      <c r="I90" s="246">
        <f>SpectralData!I59</f>
        <v>6.3405187289333295E-2</v>
      </c>
      <c r="J90" s="246">
        <f>SpectralData!J59</f>
        <v>0.612688555393333</v>
      </c>
      <c r="K90" s="246">
        <f>SpectralData!K59</f>
        <v>0.424959571839999</v>
      </c>
      <c r="L90" s="246">
        <f>SpectralData!L59</f>
        <v>0.24874191538000001</v>
      </c>
      <c r="M90" s="246">
        <f>SpectralData!M59</f>
        <v>0.38402236430666598</v>
      </c>
      <c r="N90" s="246">
        <f>SpectralData!N59</f>
        <v>0.52499822488666603</v>
      </c>
    </row>
    <row r="91" spans="1:14">
      <c r="A91" s="232">
        <v>630</v>
      </c>
      <c r="B91" s="246">
        <f>SpectralData!B60</f>
        <v>0.60487728373333305</v>
      </c>
      <c r="C91" s="246">
        <f>SpectralData!C60</f>
        <v>3.59523372846666E-3</v>
      </c>
      <c r="D91" s="246">
        <f>SpectralData!D60</f>
        <v>0.33175952148666599</v>
      </c>
      <c r="E91" s="246">
        <f>SpectralData!E60</f>
        <v>0.38886935425333302</v>
      </c>
      <c r="F91" s="246">
        <f>SpectralData!F60</f>
        <v>3.5846266746666598E-2</v>
      </c>
      <c r="G91" s="246">
        <f>SpectralData!G60</f>
        <v>0.63392790730666604</v>
      </c>
      <c r="H91" s="246">
        <f>SpectralData!H60</f>
        <v>9.1924470266666596E-3</v>
      </c>
      <c r="I91" s="246">
        <f>SpectralData!I60</f>
        <v>6.0801517487999897E-2</v>
      </c>
      <c r="J91" s="246">
        <f>SpectralData!J60</f>
        <v>0.60295202636</v>
      </c>
      <c r="K91" s="246">
        <f>SpectralData!K60</f>
        <v>0.41377335865999898</v>
      </c>
      <c r="L91" s="246">
        <f>SpectralData!L60</f>
        <v>0.238626598359999</v>
      </c>
      <c r="M91" s="246">
        <f>SpectralData!M60</f>
        <v>0.40027221934000001</v>
      </c>
      <c r="N91" s="246">
        <f>SpectralData!N60</f>
        <v>0.53665313467999898</v>
      </c>
    </row>
    <row r="92" spans="1:14">
      <c r="A92" s="232">
        <v>635</v>
      </c>
      <c r="B92" s="246">
        <f>SpectralData!B61</f>
        <v>0.59795907337999898</v>
      </c>
      <c r="C92" s="246">
        <f>SpectralData!C61</f>
        <v>3.0446849266E-3</v>
      </c>
      <c r="D92" s="246">
        <f>SpectralData!D61</f>
        <v>0.34794363911333298</v>
      </c>
      <c r="E92" s="246">
        <f>SpectralData!E61</f>
        <v>0.40220104472666601</v>
      </c>
      <c r="F92" s="246">
        <f>SpectralData!F61</f>
        <v>3.23720954253333E-2</v>
      </c>
      <c r="G92" s="246">
        <f>SpectralData!G61</f>
        <v>0.63377656045333297</v>
      </c>
      <c r="H92" s="246">
        <f>SpectralData!H61</f>
        <v>8.2482526302666594E-3</v>
      </c>
      <c r="I92" s="246">
        <f>SpectralData!I61</f>
        <v>5.80838721579999E-2</v>
      </c>
      <c r="J92" s="246">
        <f>SpectralData!J61</f>
        <v>0.59628937530666604</v>
      </c>
      <c r="K92" s="246">
        <f>SpectralData!K61</f>
        <v>0.40509077706666602</v>
      </c>
      <c r="L92" s="246">
        <f>SpectralData!L61</f>
        <v>0.23040446344666601</v>
      </c>
      <c r="M92" s="246">
        <f>SpectralData!M61</f>
        <v>0.41481154887999899</v>
      </c>
      <c r="N92" s="246">
        <f>SpectralData!N61</f>
        <v>0.54800631460000004</v>
      </c>
    </row>
    <row r="93" spans="1:14">
      <c r="A93" s="232">
        <v>640</v>
      </c>
      <c r="B93" s="246">
        <f>SpectralData!B62</f>
        <v>0.59810433198000001</v>
      </c>
      <c r="C93" s="246">
        <f>SpectralData!C62</f>
        <v>2.88836022717333E-3</v>
      </c>
      <c r="D93" s="246">
        <f>SpectralData!D62</f>
        <v>0.36431717428666599</v>
      </c>
      <c r="E93" s="246">
        <f>SpectralData!E62</f>
        <v>0.41655126443999901</v>
      </c>
      <c r="F93" s="246">
        <f>SpectralData!F62</f>
        <v>3.0086495081999901E-2</v>
      </c>
      <c r="G93" s="246">
        <f>SpectralData!G62</f>
        <v>0.63929409790000002</v>
      </c>
      <c r="H93" s="246">
        <f>SpectralData!H62</f>
        <v>7.6504562298000001E-3</v>
      </c>
      <c r="I93" s="246">
        <f>SpectralData!I62</f>
        <v>5.6833342871333299E-2</v>
      </c>
      <c r="J93" s="246">
        <f>SpectralData!J62</f>
        <v>0.59592012786666604</v>
      </c>
      <c r="K93" s="246">
        <f>SpectralData!K62</f>
        <v>0.40147560119999998</v>
      </c>
      <c r="L93" s="246">
        <f>SpectralData!L62</f>
        <v>0.22556684620666601</v>
      </c>
      <c r="M93" s="246">
        <f>SpectralData!M62</f>
        <v>0.43084740956666601</v>
      </c>
      <c r="N93" s="246">
        <f>SpectralData!N62</f>
        <v>0.56188546497999903</v>
      </c>
    </row>
    <row r="94" spans="1:14">
      <c r="A94" s="232">
        <v>645</v>
      </c>
      <c r="B94" s="246">
        <f>SpectralData!B63</f>
        <v>0.60387687174000004</v>
      </c>
      <c r="C94" s="246">
        <f>SpectralData!C63</f>
        <v>1.95306538281999E-3</v>
      </c>
      <c r="D94" s="246">
        <f>SpectralData!D63</f>
        <v>0.382313313799999</v>
      </c>
      <c r="E94" s="246">
        <f>SpectralData!E63</f>
        <v>0.43253821308666601</v>
      </c>
      <c r="F94" s="246">
        <f>SpectralData!F63</f>
        <v>2.8195532003333301E-2</v>
      </c>
      <c r="G94" s="246">
        <f>SpectralData!G63</f>
        <v>0.65071592711999904</v>
      </c>
      <c r="H94" s="246">
        <f>SpectralData!H63</f>
        <v>6.8618748190000002E-3</v>
      </c>
      <c r="I94" s="246">
        <f>SpectralData!I63</f>
        <v>5.5927920658666599E-2</v>
      </c>
      <c r="J94" s="246">
        <f>SpectralData!J63</f>
        <v>0.60204172262</v>
      </c>
      <c r="K94" s="246">
        <f>SpectralData!K63</f>
        <v>0.40249673714666601</v>
      </c>
      <c r="L94" s="246">
        <f>SpectralData!L63</f>
        <v>0.22381488290000001</v>
      </c>
      <c r="M94" s="246">
        <f>SpectralData!M63</f>
        <v>0.44869699350666598</v>
      </c>
      <c r="N94" s="246">
        <f>SpectralData!N63</f>
        <v>0.579758547459999</v>
      </c>
    </row>
    <row r="95" spans="1:14">
      <c r="A95" s="232">
        <v>650</v>
      </c>
      <c r="B95" s="246">
        <f>SpectralData!B64</f>
        <v>0.61434681193333296</v>
      </c>
      <c r="C95" s="246">
        <f>SpectralData!C64</f>
        <v>2.4914622654533302E-3</v>
      </c>
      <c r="D95" s="246">
        <f>SpectralData!D64</f>
        <v>0.40241969553333301</v>
      </c>
      <c r="E95" s="246">
        <f>SpectralData!E64</f>
        <v>0.45175811259999898</v>
      </c>
      <c r="F95" s="246">
        <f>SpectralData!F64</f>
        <v>2.8902047315333301E-2</v>
      </c>
      <c r="G95" s="246">
        <f>SpectralData!G64</f>
        <v>0.66648241678666598</v>
      </c>
      <c r="H95" s="246">
        <f>SpectralData!H64</f>
        <v>7.5420971313333298E-3</v>
      </c>
      <c r="I95" s="246">
        <f>SpectralData!I64</f>
        <v>5.81788069406666E-2</v>
      </c>
      <c r="J95" s="246">
        <f>SpectralData!J64</f>
        <v>0.61280661266666603</v>
      </c>
      <c r="K95" s="246">
        <f>SpectralData!K64</f>
        <v>0.40827618154666601</v>
      </c>
      <c r="L95" s="246">
        <f>SpectralData!L64</f>
        <v>0.22645500437999899</v>
      </c>
      <c r="M95" s="246">
        <f>SpectralData!M64</f>
        <v>0.46847463481333301</v>
      </c>
      <c r="N95" s="246">
        <f>SpectralData!N64</f>
        <v>0.60056222534000003</v>
      </c>
    </row>
    <row r="96" spans="1:14">
      <c r="A96" s="232">
        <v>655</v>
      </c>
      <c r="B96" s="246">
        <f>SpectralData!B65</f>
        <v>0.62606697082666596</v>
      </c>
      <c r="C96" s="246">
        <f>SpectralData!C65</f>
        <v>2.5722695292000001E-3</v>
      </c>
      <c r="D96" s="246">
        <f>SpectralData!D65</f>
        <v>0.42144777680666601</v>
      </c>
      <c r="E96" s="246">
        <f>SpectralData!E65</f>
        <v>0.46977285767999899</v>
      </c>
      <c r="F96" s="246">
        <f>SpectralData!F65</f>
        <v>2.9064261914000002E-2</v>
      </c>
      <c r="G96" s="246">
        <f>SpectralData!G65</f>
        <v>0.68197197469333304</v>
      </c>
      <c r="H96" s="246">
        <f>SpectralData!H65</f>
        <v>8.0793040593333306E-3</v>
      </c>
      <c r="I96" s="246">
        <f>SpectralData!I65</f>
        <v>5.9275414785333297E-2</v>
      </c>
      <c r="J96" s="246">
        <f>SpectralData!J65</f>
        <v>0.62452683003999898</v>
      </c>
      <c r="K96" s="246">
        <f>SpectralData!K65</f>
        <v>0.41477056885999902</v>
      </c>
      <c r="L96" s="246">
        <f>SpectralData!L65</f>
        <v>0.229662347146666</v>
      </c>
      <c r="M96" s="246">
        <f>SpectralData!M65</f>
        <v>0.486916216533333</v>
      </c>
      <c r="N96" s="246">
        <f>SpectralData!N65</f>
        <v>0.62026753233999898</v>
      </c>
    </row>
    <row r="97" spans="1:14">
      <c r="A97" s="232">
        <v>660</v>
      </c>
      <c r="B97" s="246">
        <f>SpectralData!B66</f>
        <v>0.63662311807999905</v>
      </c>
      <c r="C97" s="246">
        <f>SpectralData!C66</f>
        <v>2.7157886773466599E-3</v>
      </c>
      <c r="D97" s="246">
        <f>SpectralData!D66</f>
        <v>0.43899934131999901</v>
      </c>
      <c r="E97" s="246">
        <f>SpectralData!E66</f>
        <v>0.485672925313333</v>
      </c>
      <c r="F97" s="246">
        <f>SpectralData!F66</f>
        <v>2.99078416806666E-2</v>
      </c>
      <c r="G97" s="246">
        <f>SpectralData!G66</f>
        <v>0.69564649964666603</v>
      </c>
      <c r="H97" s="246">
        <f>SpectralData!H66</f>
        <v>8.3968878189333296E-3</v>
      </c>
      <c r="I97" s="246">
        <f>SpectralData!I66</f>
        <v>6.1915945370666602E-2</v>
      </c>
      <c r="J97" s="246">
        <f>SpectralData!J66</f>
        <v>0.63522988128666602</v>
      </c>
      <c r="K97" s="246">
        <f>SpectralData!K66</f>
        <v>0.42210835776</v>
      </c>
      <c r="L97" s="246">
        <f>SpectralData!L66</f>
        <v>0.23424771244666601</v>
      </c>
      <c r="M97" s="246">
        <f>SpectralData!M66</f>
        <v>0.50465607961333303</v>
      </c>
      <c r="N97" s="246">
        <f>SpectralData!N66</f>
        <v>0.63773796336666599</v>
      </c>
    </row>
    <row r="98" spans="1:14">
      <c r="A98" s="232">
        <v>665</v>
      </c>
      <c r="B98" s="246">
        <f>SpectralData!B67</f>
        <v>0.64551574199333295</v>
      </c>
      <c r="C98" s="246">
        <f>SpectralData!C67</f>
        <v>2.4545187850666598E-3</v>
      </c>
      <c r="D98" s="246">
        <f>SpectralData!D67</f>
        <v>0.45450192769999997</v>
      </c>
      <c r="E98" s="246">
        <f>SpectralData!E67</f>
        <v>0.50086860402</v>
      </c>
      <c r="F98" s="246">
        <f>SpectralData!F67</f>
        <v>3.10265695259999E-2</v>
      </c>
      <c r="G98" s="246">
        <f>SpectralData!G67</f>
        <v>0.70716263327333295</v>
      </c>
      <c r="H98" s="246">
        <f>SpectralData!H67</f>
        <v>8.356786251E-3</v>
      </c>
      <c r="I98" s="246">
        <f>SpectralData!I67</f>
        <v>6.4206657726666602E-2</v>
      </c>
      <c r="J98" s="246">
        <f>SpectralData!J67</f>
        <v>0.64442124938000001</v>
      </c>
      <c r="K98" s="246">
        <f>SpectralData!K67</f>
        <v>0.42897706348666598</v>
      </c>
      <c r="L98" s="246">
        <f>SpectralData!L67</f>
        <v>0.239375328066666</v>
      </c>
      <c r="M98" s="246">
        <f>SpectralData!M67</f>
        <v>0.52023323566666602</v>
      </c>
      <c r="N98" s="246">
        <f>SpectralData!N67</f>
        <v>0.65195740255999901</v>
      </c>
    </row>
    <row r="99" spans="1:14">
      <c r="A99" s="232">
        <v>670</v>
      </c>
      <c r="B99" s="246">
        <f>SpectralData!B68</f>
        <v>0.65406703186666604</v>
      </c>
      <c r="C99" s="246">
        <f>SpectralData!C68</f>
        <v>3.3347679674666599E-3</v>
      </c>
      <c r="D99" s="246">
        <f>SpectralData!D68</f>
        <v>0.46925727844666598</v>
      </c>
      <c r="E99" s="246">
        <f>SpectralData!E68</f>
        <v>0.51472068023999995</v>
      </c>
      <c r="F99" s="246">
        <f>SpectralData!F68</f>
        <v>3.3825207550666599E-2</v>
      </c>
      <c r="G99" s="246">
        <f>SpectralData!G68</f>
        <v>0.71656372578666605</v>
      </c>
      <c r="H99" s="246">
        <f>SpectralData!H68</f>
        <v>9.7947514059333295E-3</v>
      </c>
      <c r="I99" s="246">
        <f>SpectralData!I68</f>
        <v>6.8342982926666601E-2</v>
      </c>
      <c r="J99" s="246">
        <f>SpectralData!J68</f>
        <v>0.65264103698666598</v>
      </c>
      <c r="K99" s="246">
        <f>SpectralData!K68</f>
        <v>0.43782981363333301</v>
      </c>
      <c r="L99" s="246">
        <f>SpectralData!L68</f>
        <v>0.24641531752666601</v>
      </c>
      <c r="M99" s="246">
        <f>SpectralData!M68</f>
        <v>0.53468654634000001</v>
      </c>
      <c r="N99" s="246">
        <f>SpectralData!N68</f>
        <v>0.66547347514666599</v>
      </c>
    </row>
    <row r="100" spans="1:14">
      <c r="A100" s="232">
        <v>675</v>
      </c>
      <c r="B100" s="246">
        <f>SpectralData!B69</f>
        <v>0.66249126688666604</v>
      </c>
      <c r="C100" s="246">
        <f>SpectralData!C69</f>
        <v>3.47502062706666E-3</v>
      </c>
      <c r="D100" s="246">
        <f>SpectralData!D69</f>
        <v>0.48408138274666601</v>
      </c>
      <c r="E100" s="246">
        <f>SpectralData!E69</f>
        <v>0.52799786375333302</v>
      </c>
      <c r="F100" s="246">
        <f>SpectralData!F69</f>
        <v>3.6224350771333298E-2</v>
      </c>
      <c r="G100" s="246">
        <f>SpectralData!G69</f>
        <v>0.72511237587999899</v>
      </c>
      <c r="H100" s="246">
        <f>SpectralData!H69</f>
        <v>1.06161986988666E-2</v>
      </c>
      <c r="I100" s="246">
        <f>SpectralData!I69</f>
        <v>7.2952111879333301E-2</v>
      </c>
      <c r="J100" s="246">
        <f>SpectralData!J69</f>
        <v>0.66057532245999895</v>
      </c>
      <c r="K100" s="246">
        <f>SpectralData!K69</f>
        <v>0.44713735452666598</v>
      </c>
      <c r="L100" s="246">
        <f>SpectralData!L69</f>
        <v>0.25475858815333302</v>
      </c>
      <c r="M100" s="246">
        <f>SpectralData!M69</f>
        <v>0.54872603353333305</v>
      </c>
      <c r="N100" s="246">
        <f>SpectralData!N69</f>
        <v>0.67678393555333305</v>
      </c>
    </row>
    <row r="101" spans="1:14">
      <c r="A101" s="232">
        <v>680</v>
      </c>
      <c r="B101" s="246">
        <f>SpectralData!B70</f>
        <v>0.67055552674666596</v>
      </c>
      <c r="C101" s="246">
        <f>SpectralData!C70</f>
        <v>4.1320250232000002E-3</v>
      </c>
      <c r="D101" s="246">
        <f>SpectralData!D70</f>
        <v>0.49954497274666598</v>
      </c>
      <c r="E101" s="246">
        <f>SpectralData!E70</f>
        <v>0.54235913849999995</v>
      </c>
      <c r="F101" s="246">
        <f>SpectralData!F70</f>
        <v>3.9950448354666601E-2</v>
      </c>
      <c r="G101" s="246">
        <f>SpectralData!G70</f>
        <v>0.733884023033333</v>
      </c>
      <c r="H101" s="246">
        <f>SpectralData!H70</f>
        <v>1.2422403812999999E-2</v>
      </c>
      <c r="I101" s="246">
        <f>SpectralData!I70</f>
        <v>7.9639458974666594E-2</v>
      </c>
      <c r="J101" s="246">
        <f>SpectralData!J70</f>
        <v>0.66906286113333302</v>
      </c>
      <c r="K101" s="246">
        <f>SpectralData!K70</f>
        <v>0.45793596139999898</v>
      </c>
      <c r="L101" s="246">
        <f>SpectralData!L70</f>
        <v>0.26597133000666601</v>
      </c>
      <c r="M101" s="246">
        <f>SpectralData!M70</f>
        <v>0.56274732969999997</v>
      </c>
      <c r="N101" s="246">
        <f>SpectralData!N70</f>
        <v>0.68842658488666597</v>
      </c>
    </row>
    <row r="102" spans="1:14">
      <c r="A102" s="232">
        <v>685</v>
      </c>
      <c r="B102" s="246">
        <f>SpectralData!B71</f>
        <v>0.67959486389999901</v>
      </c>
      <c r="C102" s="246">
        <f>SpectralData!C71</f>
        <v>6.2407601673333301E-3</v>
      </c>
      <c r="D102" s="246">
        <f>SpectralData!D71</f>
        <v>0.516210772206666</v>
      </c>
      <c r="E102" s="246">
        <f>SpectralData!E71</f>
        <v>0.55749641927999904</v>
      </c>
      <c r="F102" s="246">
        <f>SpectralData!F71</f>
        <v>4.60622208913333E-2</v>
      </c>
      <c r="G102" s="246">
        <f>SpectralData!G71</f>
        <v>0.74190098571333296</v>
      </c>
      <c r="H102" s="246">
        <f>SpectralData!H71</f>
        <v>1.6117625871999899E-2</v>
      </c>
      <c r="I102" s="246">
        <f>SpectralData!I71</f>
        <v>8.8175228117999896E-2</v>
      </c>
      <c r="J102" s="246">
        <f>SpectralData!J71</f>
        <v>0.67850705464666605</v>
      </c>
      <c r="K102" s="246">
        <f>SpectralData!K71</f>
        <v>0.47085506185333298</v>
      </c>
      <c r="L102" s="246">
        <f>SpectralData!L71</f>
        <v>0.27910623041333299</v>
      </c>
      <c r="M102" s="246">
        <f>SpectralData!M71</f>
        <v>0.57807418060666604</v>
      </c>
      <c r="N102" s="246">
        <f>SpectralData!N71</f>
        <v>0.69935177611999899</v>
      </c>
    </row>
    <row r="103" spans="1:14">
      <c r="A103" s="232">
        <v>690</v>
      </c>
      <c r="B103" s="246">
        <f>SpectralData!B72</f>
        <v>0.68957404581333304</v>
      </c>
      <c r="C103" s="246">
        <f>SpectralData!C72</f>
        <v>7.8876816034000007E-3</v>
      </c>
      <c r="D103" s="246">
        <f>SpectralData!D72</f>
        <v>0.53223672739333305</v>
      </c>
      <c r="E103" s="246">
        <f>SpectralData!E72</f>
        <v>0.57283035278666605</v>
      </c>
      <c r="F103" s="246">
        <f>SpectralData!F72</f>
        <v>5.2476046562666599E-2</v>
      </c>
      <c r="G103" s="246">
        <f>SpectralData!G72</f>
        <v>0.74992233277333298</v>
      </c>
      <c r="H103" s="246">
        <f>SpectralData!H72</f>
        <v>1.8887884380000001E-2</v>
      </c>
      <c r="I103" s="246">
        <f>SpectralData!I72</f>
        <v>9.8599241253999895E-2</v>
      </c>
      <c r="J103" s="246">
        <f>SpectralData!J72</f>
        <v>0.688340016666666</v>
      </c>
      <c r="K103" s="246">
        <f>SpectralData!K72</f>
        <v>0.48599413046000001</v>
      </c>
      <c r="L103" s="246">
        <f>SpectralData!L72</f>
        <v>0.29432920073333302</v>
      </c>
      <c r="M103" s="246">
        <f>SpectralData!M72</f>
        <v>0.59303022767333302</v>
      </c>
      <c r="N103" s="246">
        <f>SpectralData!N72</f>
        <v>0.71038181558666602</v>
      </c>
    </row>
    <row r="104" spans="1:14">
      <c r="A104" s="232">
        <v>695</v>
      </c>
      <c r="B104" s="246">
        <f>SpectralData!B73</f>
        <v>0.69937444051999997</v>
      </c>
      <c r="C104" s="246">
        <f>SpectralData!C73</f>
        <v>8.9245309828666596E-3</v>
      </c>
      <c r="D104" s="246">
        <f>SpectralData!D73</f>
        <v>0.54957724761999904</v>
      </c>
      <c r="E104" s="246">
        <f>SpectralData!E73</f>
        <v>0.58768377177333297</v>
      </c>
      <c r="F104" s="246">
        <f>SpectralData!F73</f>
        <v>6.05689067833333E-2</v>
      </c>
      <c r="G104" s="246">
        <f>SpectralData!G73</f>
        <v>0.75749813842666602</v>
      </c>
      <c r="H104" s="246">
        <f>SpectralData!H73</f>
        <v>2.2695943992666601E-2</v>
      </c>
      <c r="I104" s="246">
        <f>SpectralData!I73</f>
        <v>0.110008227673333</v>
      </c>
      <c r="J104" s="246">
        <f>SpectralData!J73</f>
        <v>0.69787170409999899</v>
      </c>
      <c r="K104" s="246">
        <f>SpectralData!K73</f>
        <v>0.50102818807333305</v>
      </c>
      <c r="L104" s="246">
        <f>SpectralData!L73</f>
        <v>0.31126764678000002</v>
      </c>
      <c r="M104" s="246">
        <f>SpectralData!M73</f>
        <v>0.60767639922666605</v>
      </c>
      <c r="N104" s="246">
        <f>SpectralData!N73</f>
        <v>0.720208017973333</v>
      </c>
    </row>
    <row r="105" spans="1:14">
      <c r="A105" s="232">
        <v>700</v>
      </c>
      <c r="B105" s="246">
        <f>SpectralData!B74</f>
        <v>0.71014990742666595</v>
      </c>
      <c r="C105" s="246">
        <f>SpectralData!C74</f>
        <v>1.2213808616666599E-2</v>
      </c>
      <c r="D105" s="246">
        <f>SpectralData!D74</f>
        <v>0.56813603464666595</v>
      </c>
      <c r="E105" s="246">
        <f>SpectralData!E74</f>
        <v>0.60502326965333297</v>
      </c>
      <c r="F105" s="246">
        <f>SpectralData!F74</f>
        <v>7.0892458281333295E-2</v>
      </c>
      <c r="G105" s="246">
        <f>SpectralData!G74</f>
        <v>0.76569256590666601</v>
      </c>
      <c r="H105" s="246">
        <f>SpectralData!H74</f>
        <v>2.80594771693333E-2</v>
      </c>
      <c r="I105" s="246">
        <f>SpectralData!I74</f>
        <v>0.12480739466</v>
      </c>
      <c r="J105" s="246">
        <f>SpectralData!J74</f>
        <v>0.70921159362666597</v>
      </c>
      <c r="K105" s="246">
        <f>SpectralData!K74</f>
        <v>0.51892158762666596</v>
      </c>
      <c r="L105" s="246">
        <f>SpectralData!L74</f>
        <v>0.331662597666666</v>
      </c>
      <c r="M105" s="246">
        <f>SpectralData!M74</f>
        <v>0.62460776010666597</v>
      </c>
      <c r="N105" s="246">
        <f>SpectralData!N74</f>
        <v>0.73124370320666598</v>
      </c>
    </row>
    <row r="106" spans="1:14">
      <c r="A106" s="232">
        <v>705</v>
      </c>
      <c r="B106" s="246">
        <f>SpectralData!B75</f>
        <v>0.72224871317333295</v>
      </c>
      <c r="C106" s="246">
        <f>SpectralData!C75</f>
        <v>1.4988031705333299E-2</v>
      </c>
      <c r="D106" s="246">
        <f>SpectralData!D75</f>
        <v>0.58782920584666598</v>
      </c>
      <c r="E106" s="246">
        <f>SpectralData!E75</f>
        <v>0.62317608388000001</v>
      </c>
      <c r="F106" s="246">
        <f>SpectralData!F75</f>
        <v>8.2744463602666601E-2</v>
      </c>
      <c r="G106" s="246">
        <f>SpectralData!G75</f>
        <v>0.77452048747999902</v>
      </c>
      <c r="H106" s="246">
        <f>SpectralData!H75</f>
        <v>3.4340958118666602E-2</v>
      </c>
      <c r="I106" s="246">
        <f>SpectralData!I75</f>
        <v>0.14162538399999899</v>
      </c>
      <c r="J106" s="246">
        <f>SpectralData!J75</f>
        <v>0.72131289163333301</v>
      </c>
      <c r="K106" s="246">
        <f>SpectralData!K75</f>
        <v>0.53847109985999897</v>
      </c>
      <c r="L106" s="246">
        <f>SpectralData!L75</f>
        <v>0.35389825186666601</v>
      </c>
      <c r="M106" s="246">
        <f>SpectralData!M75</f>
        <v>0.64123106129999896</v>
      </c>
      <c r="N106" s="246">
        <f>SpectralData!N75</f>
        <v>0.743174458819999</v>
      </c>
    </row>
    <row r="107" spans="1:14">
      <c r="A107" s="232">
        <v>710</v>
      </c>
      <c r="B107" s="246">
        <f>SpectralData!B76</f>
        <v>0.73482508850666595</v>
      </c>
      <c r="C107" s="246">
        <f>SpectralData!C76</f>
        <v>2.1628327369999902E-2</v>
      </c>
      <c r="D107" s="246">
        <f>SpectralData!D76</f>
        <v>0.60799947357999895</v>
      </c>
      <c r="E107" s="246">
        <f>SpectralData!E76</f>
        <v>0.64171740469333305</v>
      </c>
      <c r="F107" s="246">
        <f>SpectralData!F76</f>
        <v>9.9547222152000001E-2</v>
      </c>
      <c r="G107" s="246">
        <f>SpectralData!G76</f>
        <v>0.78374013772666595</v>
      </c>
      <c r="H107" s="246">
        <f>SpectralData!H76</f>
        <v>4.4364161967999902E-2</v>
      </c>
      <c r="I107" s="246">
        <f>SpectralData!I76</f>
        <v>0.163072422026666</v>
      </c>
      <c r="J107" s="246">
        <f>SpectralData!J76</f>
        <v>0.73354118855333295</v>
      </c>
      <c r="K107" s="246">
        <f>SpectralData!K76</f>
        <v>0.5601931483</v>
      </c>
      <c r="L107" s="246">
        <f>SpectralData!L76</f>
        <v>0.379220255539999</v>
      </c>
      <c r="M107" s="246">
        <f>SpectralData!M76</f>
        <v>0.65935002643999896</v>
      </c>
      <c r="N107" s="246">
        <f>SpectralData!N76</f>
        <v>0.75491150919999905</v>
      </c>
    </row>
    <row r="108" spans="1:14">
      <c r="A108" s="232">
        <v>715</v>
      </c>
      <c r="B108" s="246">
        <f>SpectralData!B77</f>
        <v>0.74619039408666599</v>
      </c>
      <c r="C108" s="246">
        <f>SpectralData!C77</f>
        <v>2.9115511575999901E-2</v>
      </c>
      <c r="D108" s="246">
        <f>SpectralData!D77</f>
        <v>0.62785982259333295</v>
      </c>
      <c r="E108" s="246">
        <f>SpectralData!E77</f>
        <v>0.65992977906666594</v>
      </c>
      <c r="F108" s="246">
        <f>SpectralData!F77</f>
        <v>0.11843456776</v>
      </c>
      <c r="G108" s="246">
        <f>SpectralData!G77</f>
        <v>0.791500432333333</v>
      </c>
      <c r="H108" s="246">
        <f>SpectralData!H77</f>
        <v>5.6922389349333302E-2</v>
      </c>
      <c r="I108" s="246">
        <f>SpectralData!I77</f>
        <v>0.18641410191999999</v>
      </c>
      <c r="J108" s="246">
        <f>SpectralData!J77</f>
        <v>0.74531907653999896</v>
      </c>
      <c r="K108" s="246">
        <f>SpectralData!K77</f>
        <v>0.58125045521999896</v>
      </c>
      <c r="L108" s="246">
        <f>SpectralData!L77</f>
        <v>0.40617471822666601</v>
      </c>
      <c r="M108" s="246">
        <f>SpectralData!M77</f>
        <v>0.67656379190666605</v>
      </c>
      <c r="N108" s="246">
        <f>SpectralData!N77</f>
        <v>0.76531263224666601</v>
      </c>
    </row>
    <row r="109" spans="1:14">
      <c r="A109" s="232">
        <v>720</v>
      </c>
      <c r="B109" s="246">
        <f>SpectralData!B78</f>
        <v>0.75906469725999903</v>
      </c>
      <c r="C109" s="246">
        <f>SpectralData!C78</f>
        <v>3.9549982546666598E-2</v>
      </c>
      <c r="D109" s="246">
        <f>SpectralData!D78</f>
        <v>0.64908487447333296</v>
      </c>
      <c r="E109" s="246">
        <f>SpectralData!E78</f>
        <v>0.67835638937333298</v>
      </c>
      <c r="F109" s="246">
        <f>SpectralData!F78</f>
        <v>0.14147027270000001</v>
      </c>
      <c r="G109" s="246">
        <f>SpectralData!G78</f>
        <v>0.80077192687999899</v>
      </c>
      <c r="H109" s="246">
        <f>SpectralData!H78</f>
        <v>7.2605180421999899E-2</v>
      </c>
      <c r="I109" s="246">
        <f>SpectralData!I78</f>
        <v>0.21423457973333301</v>
      </c>
      <c r="J109" s="246">
        <f>SpectralData!J78</f>
        <v>0.75806884257333296</v>
      </c>
      <c r="K109" s="246">
        <f>SpectralData!K78</f>
        <v>0.60394287617333298</v>
      </c>
      <c r="L109" s="246">
        <f>SpectralData!L78</f>
        <v>0.43518963114666598</v>
      </c>
      <c r="M109" s="246">
        <f>SpectralData!M78</f>
        <v>0.69464396159333297</v>
      </c>
      <c r="N109" s="246">
        <f>SpectralData!N78</f>
        <v>0.77698014830666595</v>
      </c>
    </row>
    <row r="110" spans="1:14">
      <c r="A110" s="232">
        <v>725</v>
      </c>
      <c r="B110" s="246">
        <f>SpectralData!B79</f>
        <v>0.77165055338666599</v>
      </c>
      <c r="C110" s="246">
        <f>SpectralData!C79</f>
        <v>5.3193361599999898E-2</v>
      </c>
      <c r="D110" s="246">
        <f>SpectralData!D79</f>
        <v>0.66962787882666597</v>
      </c>
      <c r="E110" s="246">
        <f>SpectralData!E79</f>
        <v>0.69716558836666598</v>
      </c>
      <c r="F110" s="246">
        <f>SpectralData!F79</f>
        <v>0.16805046780666599</v>
      </c>
      <c r="G110" s="246">
        <f>SpectralData!G79</f>
        <v>0.80923987323333302</v>
      </c>
      <c r="H110" s="246">
        <f>SpectralData!H79</f>
        <v>9.2071921667333301E-2</v>
      </c>
      <c r="I110" s="246">
        <f>SpectralData!I79</f>
        <v>0.24513401031333301</v>
      </c>
      <c r="J110" s="246">
        <f>SpectralData!J79</f>
        <v>0.77065286255333298</v>
      </c>
      <c r="K110" s="246">
        <f>SpectralData!K79</f>
        <v>0.62766051229333297</v>
      </c>
      <c r="L110" s="246">
        <f>SpectralData!L79</f>
        <v>0.46638052114666601</v>
      </c>
      <c r="M110" s="246">
        <f>SpectralData!M79</f>
        <v>0.71254131570666601</v>
      </c>
      <c r="N110" s="246">
        <f>SpectralData!N79</f>
        <v>0.78811476135999903</v>
      </c>
    </row>
    <row r="111" spans="1:14">
      <c r="A111" s="232">
        <v>730</v>
      </c>
      <c r="B111" s="246">
        <f>SpectralData!B80</f>
        <v>0.78419855752666601</v>
      </c>
      <c r="C111" s="246">
        <f>SpectralData!C80</f>
        <v>7.0929243086666593E-2</v>
      </c>
      <c r="D111" s="246">
        <f>SpectralData!D80</f>
        <v>0.69067778015333303</v>
      </c>
      <c r="E111" s="246">
        <f>SpectralData!E80</f>
        <v>0.71600635274666602</v>
      </c>
      <c r="F111" s="246">
        <f>SpectralData!F80</f>
        <v>0.19912370935999901</v>
      </c>
      <c r="G111" s="246">
        <f>SpectralData!G80</f>
        <v>0.81827946980666599</v>
      </c>
      <c r="H111" s="246">
        <f>SpectralData!H80</f>
        <v>0.115921364453333</v>
      </c>
      <c r="I111" s="246">
        <f>SpectralData!I80</f>
        <v>0.279522981006666</v>
      </c>
      <c r="J111" s="246">
        <f>SpectralData!J80</f>
        <v>0.78323383584666595</v>
      </c>
      <c r="K111" s="246">
        <f>SpectralData!K80</f>
        <v>0.65104420724666601</v>
      </c>
      <c r="L111" s="246">
        <f>SpectralData!L80</f>
        <v>0.49861914569999999</v>
      </c>
      <c r="M111" s="246">
        <f>SpectralData!M80</f>
        <v>0.73001528930000004</v>
      </c>
      <c r="N111" s="246">
        <f>SpectralData!N80</f>
        <v>0.79898229982000002</v>
      </c>
    </row>
    <row r="112" spans="1:14">
      <c r="A112" s="232">
        <v>735</v>
      </c>
      <c r="B112" s="246">
        <f>SpectralData!B81</f>
        <v>0.79558898417333301</v>
      </c>
      <c r="C112" s="246">
        <f>SpectralData!C81</f>
        <v>9.3238766989999999E-2</v>
      </c>
      <c r="D112" s="246">
        <f>SpectralData!D81</f>
        <v>0.71010156757333298</v>
      </c>
      <c r="E112" s="246">
        <f>SpectralData!E81</f>
        <v>0.73317562357999999</v>
      </c>
      <c r="F112" s="246">
        <f>SpectralData!F81</f>
        <v>0.234060976646666</v>
      </c>
      <c r="G112" s="246">
        <f>SpectralData!G81</f>
        <v>0.82574140421333297</v>
      </c>
      <c r="H112" s="246">
        <f>SpectralData!H81</f>
        <v>0.144252171839999</v>
      </c>
      <c r="I112" s="246">
        <f>SpectralData!I81</f>
        <v>0.31594937133333301</v>
      </c>
      <c r="J112" s="246">
        <f>SpectralData!J81</f>
        <v>0.79457344562666599</v>
      </c>
      <c r="K112" s="246">
        <f>SpectralData!K81</f>
        <v>0.67370599874666603</v>
      </c>
      <c r="L112" s="246">
        <f>SpectralData!L81</f>
        <v>0.53025046031333301</v>
      </c>
      <c r="M112" s="246">
        <f>SpectralData!M81</f>
        <v>0.74628085327333304</v>
      </c>
      <c r="N112" s="246">
        <f>SpectralData!N81</f>
        <v>0.80829696654000005</v>
      </c>
    </row>
    <row r="113" spans="1:14">
      <c r="A113" s="232">
        <v>740</v>
      </c>
      <c r="B113" s="246">
        <f>SpectralData!B82</f>
        <v>0.80604437256666595</v>
      </c>
      <c r="C113" s="246">
        <f>SpectralData!C82</f>
        <v>0.118850732166666</v>
      </c>
      <c r="D113" s="246">
        <f>SpectralData!D82</f>
        <v>0.72793574523999904</v>
      </c>
      <c r="E113" s="246">
        <f>SpectralData!E82</f>
        <v>0.74934446715333303</v>
      </c>
      <c r="F113" s="246">
        <f>SpectralData!F82</f>
        <v>0.27041506704666601</v>
      </c>
      <c r="G113" s="246">
        <f>SpectralData!G82</f>
        <v>0.832036738073333</v>
      </c>
      <c r="H113" s="246">
        <f>SpectralData!H82</f>
        <v>0.17508275986666599</v>
      </c>
      <c r="I113" s="246">
        <f>SpectralData!I82</f>
        <v>0.353942774446666</v>
      </c>
      <c r="J113" s="246">
        <f>SpectralData!J82</f>
        <v>0.80503355915999897</v>
      </c>
      <c r="K113" s="246">
        <f>SpectralData!K82</f>
        <v>0.69443552651999996</v>
      </c>
      <c r="L113" s="246">
        <f>SpectralData!L82</f>
        <v>0.56117373403333304</v>
      </c>
      <c r="M113" s="246">
        <f>SpectralData!M82</f>
        <v>0.76147311909333304</v>
      </c>
      <c r="N113" s="246">
        <f>SpectralData!N82</f>
        <v>0.81701085916666605</v>
      </c>
    </row>
    <row r="114" spans="1:14">
      <c r="A114" s="232">
        <v>745</v>
      </c>
      <c r="B114" s="246">
        <f>SpectralData!B83</f>
        <v>0.81763500467333305</v>
      </c>
      <c r="C114" s="246">
        <f>SpectralData!C83</f>
        <v>0.15208472571333301</v>
      </c>
      <c r="D114" s="246">
        <f>SpectralData!D83</f>
        <v>0.74709211222000005</v>
      </c>
      <c r="E114" s="246">
        <f>SpectralData!E83</f>
        <v>0.76596108500666604</v>
      </c>
      <c r="F114" s="246">
        <f>SpectralData!F83</f>
        <v>0.31242107518000001</v>
      </c>
      <c r="G114" s="246">
        <f>SpectralData!G83</f>
        <v>0.84016717021333298</v>
      </c>
      <c r="H114" s="246">
        <f>SpectralData!H83</f>
        <v>0.213444751753333</v>
      </c>
      <c r="I114" s="246">
        <f>SpectralData!I83</f>
        <v>0.39558170572000001</v>
      </c>
      <c r="J114" s="246">
        <f>SpectralData!J83</f>
        <v>0.81637849426666598</v>
      </c>
      <c r="K114" s="246">
        <f>SpectralData!K83</f>
        <v>0.71683305866666602</v>
      </c>
      <c r="L114" s="246">
        <f>SpectralData!L83</f>
        <v>0.59395714823333301</v>
      </c>
      <c r="M114" s="246">
        <f>SpectralData!M83</f>
        <v>0.77705030821999899</v>
      </c>
      <c r="N114" s="246">
        <f>SpectralData!N83</f>
        <v>0.82698217263999896</v>
      </c>
    </row>
    <row r="115" spans="1:14">
      <c r="A115" s="232">
        <v>750</v>
      </c>
      <c r="B115" s="246">
        <f>SpectralData!B84</f>
        <v>0.82779908752666598</v>
      </c>
      <c r="C115" s="246">
        <f>SpectralData!C84</f>
        <v>0.189404421473333</v>
      </c>
      <c r="D115" s="246">
        <f>SpectralData!D84</f>
        <v>0.76431989034666603</v>
      </c>
      <c r="E115" s="246">
        <f>SpectralData!E84</f>
        <v>0.78111980692000005</v>
      </c>
      <c r="F115" s="246">
        <f>SpectralData!F84</f>
        <v>0.355586558026666</v>
      </c>
      <c r="G115" s="246">
        <f>SpectralData!G84</f>
        <v>0.84728948974666596</v>
      </c>
      <c r="H115" s="246">
        <f>SpectralData!H84</f>
        <v>0.25488982644666602</v>
      </c>
      <c r="I115" s="246">
        <f>SpectralData!I84</f>
        <v>0.437346318573333</v>
      </c>
      <c r="J115" s="246">
        <f>SpectralData!J84</f>
        <v>0.82618531290666597</v>
      </c>
      <c r="K115" s="246">
        <f>SpectralData!K84</f>
        <v>0.737714665733333</v>
      </c>
      <c r="L115" s="246">
        <f>SpectralData!L84</f>
        <v>0.62503203837333299</v>
      </c>
      <c r="M115" s="246">
        <f>SpectralData!M84</f>
        <v>0.79189726765333301</v>
      </c>
      <c r="N115" s="246">
        <f>SpectralData!N84</f>
        <v>0.835908355713333</v>
      </c>
    </row>
    <row r="116" spans="1:14">
      <c r="A116" s="232">
        <v>755</v>
      </c>
      <c r="B116" s="246">
        <f>SpectralData!B85</f>
        <v>0.83730581155333295</v>
      </c>
      <c r="C116" s="246">
        <f>SpectralData!C85</f>
        <v>0.23319826125333301</v>
      </c>
      <c r="D116" s="246">
        <f>SpectralData!D85</f>
        <v>0.78071925353999905</v>
      </c>
      <c r="E116" s="246">
        <f>SpectralData!E85</f>
        <v>0.795473887113333</v>
      </c>
      <c r="F116" s="246">
        <f>SpectralData!F85</f>
        <v>0.40183349355333298</v>
      </c>
      <c r="G116" s="246">
        <f>SpectralData!G85</f>
        <v>0.85345085651999997</v>
      </c>
      <c r="H116" s="246">
        <f>SpectralData!H85</f>
        <v>0.30063527425999997</v>
      </c>
      <c r="I116" s="246">
        <f>SpectralData!I85</f>
        <v>0.48032268778666598</v>
      </c>
      <c r="J116" s="246">
        <f>SpectralData!J85</f>
        <v>0.83605286153333302</v>
      </c>
      <c r="K116" s="246">
        <f>SpectralData!K85</f>
        <v>0.75681196086666602</v>
      </c>
      <c r="L116" s="246">
        <f>SpectralData!L85</f>
        <v>0.65554486083333297</v>
      </c>
      <c r="M116" s="246">
        <f>SpectralData!M85</f>
        <v>0.80472405495333299</v>
      </c>
      <c r="N116" s="246">
        <f>SpectralData!N85</f>
        <v>0.84388945006666605</v>
      </c>
    </row>
    <row r="117" spans="1:14">
      <c r="A117" s="232">
        <v>760</v>
      </c>
      <c r="B117" s="246">
        <f>SpectralData!B86</f>
        <v>0.845790827426666</v>
      </c>
      <c r="C117" s="246">
        <f>SpectralData!C86</f>
        <v>0.28035633977333302</v>
      </c>
      <c r="D117" s="246">
        <f>SpectralData!D86</f>
        <v>0.79472596232000003</v>
      </c>
      <c r="E117" s="246">
        <f>SpectralData!E86</f>
        <v>0.80848492940000005</v>
      </c>
      <c r="F117" s="246">
        <f>SpectralData!F86</f>
        <v>0.44818555195333298</v>
      </c>
      <c r="G117" s="246">
        <f>SpectralData!G86</f>
        <v>0.85950148011333305</v>
      </c>
      <c r="H117" s="246">
        <f>SpectralData!H86</f>
        <v>0.34838107808666602</v>
      </c>
      <c r="I117" s="246">
        <f>SpectralData!I86</f>
        <v>0.52249888609999995</v>
      </c>
      <c r="J117" s="246">
        <f>SpectralData!J86</f>
        <v>0.84464443970666603</v>
      </c>
      <c r="K117" s="246">
        <f>SpectralData!K86</f>
        <v>0.77468633525333297</v>
      </c>
      <c r="L117" s="246">
        <f>SpectralData!L86</f>
        <v>0.68382563272666597</v>
      </c>
      <c r="M117" s="246">
        <f>SpectralData!M86</f>
        <v>0.81666611734666605</v>
      </c>
      <c r="N117" s="246">
        <f>SpectralData!N86</f>
        <v>0.85089591470000003</v>
      </c>
    </row>
    <row r="118" spans="1:14">
      <c r="A118" s="232">
        <v>765</v>
      </c>
      <c r="B118" s="246">
        <f>SpectralData!B87</f>
        <v>0.85290358480666595</v>
      </c>
      <c r="C118" s="246">
        <f>SpectralData!C87</f>
        <v>0.32908343124</v>
      </c>
      <c r="D118" s="246">
        <f>SpectralData!D87</f>
        <v>0.80770216368666603</v>
      </c>
      <c r="E118" s="246">
        <f>SpectralData!E87</f>
        <v>0.81898002115333302</v>
      </c>
      <c r="F118" s="246">
        <f>SpectralData!F87</f>
        <v>0.493255505886666</v>
      </c>
      <c r="G118" s="246">
        <f>SpectralData!G87</f>
        <v>0.86373049419999903</v>
      </c>
      <c r="H118" s="246">
        <f>SpectralData!H87</f>
        <v>0.39722668456666599</v>
      </c>
      <c r="I118" s="246">
        <f>SpectralData!I87</f>
        <v>0.56220275371333295</v>
      </c>
      <c r="J118" s="246">
        <f>SpectralData!J87</f>
        <v>0.85245618184666605</v>
      </c>
      <c r="K118" s="246">
        <f>SpectralData!K87</f>
        <v>0.79064222716666599</v>
      </c>
      <c r="L118" s="246">
        <f>SpectralData!L87</f>
        <v>0.71025419107333299</v>
      </c>
      <c r="M118" s="246">
        <f>SpectralData!M87</f>
        <v>0.82754088845999996</v>
      </c>
      <c r="N118" s="246">
        <f>SpectralData!N87</f>
        <v>0.85656868997999902</v>
      </c>
    </row>
    <row r="119" spans="1:14">
      <c r="A119" s="232">
        <v>770</v>
      </c>
      <c r="B119" s="246">
        <f>SpectralData!B88</f>
        <v>0.85958912658666597</v>
      </c>
      <c r="C119" s="246">
        <f>SpectralData!C88</f>
        <v>0.38025990804666598</v>
      </c>
      <c r="D119" s="246">
        <f>SpectralData!D88</f>
        <v>0.82028233336666601</v>
      </c>
      <c r="E119" s="246">
        <f>SpectralData!E88</f>
        <v>0.82976759339333295</v>
      </c>
      <c r="F119" s="246">
        <f>SpectralData!F88</f>
        <v>0.53657999418666602</v>
      </c>
      <c r="G119" s="246">
        <f>SpectralData!G88</f>
        <v>0.868996404033333</v>
      </c>
      <c r="H119" s="246">
        <f>SpectralData!H88</f>
        <v>0.44568999735333298</v>
      </c>
      <c r="I119" s="246">
        <f>SpectralData!I88</f>
        <v>0.60076436359999996</v>
      </c>
      <c r="J119" s="246">
        <f>SpectralData!J88</f>
        <v>0.85850793965333305</v>
      </c>
      <c r="K119" s="246">
        <f>SpectralData!K88</f>
        <v>0.80538127645333302</v>
      </c>
      <c r="L119" s="246">
        <f>SpectralData!L88</f>
        <v>0.73434262084666602</v>
      </c>
      <c r="M119" s="246">
        <f>SpectralData!M88</f>
        <v>0.83659549458666604</v>
      </c>
      <c r="N119" s="246">
        <f>SpectralData!N88</f>
        <v>0.86234197490666598</v>
      </c>
    </row>
    <row r="120" spans="1:14">
      <c r="A120" s="232">
        <v>775</v>
      </c>
      <c r="B120" s="246">
        <f>SpectralData!B89</f>
        <v>0.86523435465333298</v>
      </c>
      <c r="C120" s="246">
        <f>SpectralData!C89</f>
        <v>0.43007659149333299</v>
      </c>
      <c r="D120" s="246">
        <f>SpectralData!D89</f>
        <v>0.82921875508666598</v>
      </c>
      <c r="E120" s="246">
        <f>SpectralData!E89</f>
        <v>0.83884320578666605</v>
      </c>
      <c r="F120" s="246">
        <f>SpectralData!F89</f>
        <v>0.578625109346666</v>
      </c>
      <c r="G120" s="246">
        <f>SpectralData!G89</f>
        <v>0.87227009582666604</v>
      </c>
      <c r="H120" s="246">
        <f>SpectralData!H89</f>
        <v>0.49386225383333299</v>
      </c>
      <c r="I120" s="246">
        <f>SpectralData!I89</f>
        <v>0.63733973184666604</v>
      </c>
      <c r="J120" s="246">
        <f>SpectralData!J89</f>
        <v>0.86459875488666604</v>
      </c>
      <c r="K120" s="246">
        <f>SpectralData!K89</f>
        <v>0.81805738321999899</v>
      </c>
      <c r="L120" s="246">
        <f>SpectralData!L89</f>
        <v>0.75560370382666597</v>
      </c>
      <c r="M120" s="246">
        <f>SpectralData!M89</f>
        <v>0.84518387857333299</v>
      </c>
      <c r="N120" s="246">
        <f>SpectralData!N89</f>
        <v>0.86736483765333305</v>
      </c>
    </row>
    <row r="121" spans="1:14">
      <c r="A121" s="232">
        <v>780</v>
      </c>
      <c r="B121" s="246">
        <f>SpectralData!B90</f>
        <v>0.86994735717999905</v>
      </c>
      <c r="C121" s="246">
        <f>SpectralData!C90</f>
        <v>0.48080469003333298</v>
      </c>
      <c r="D121" s="246">
        <f>SpectralData!D90</f>
        <v>0.83837444050666599</v>
      </c>
      <c r="E121" s="246">
        <f>SpectralData!E90</f>
        <v>0.84585275268666604</v>
      </c>
      <c r="F121" s="246">
        <f>SpectralData!F90</f>
        <v>0.61791970571333299</v>
      </c>
      <c r="G121" s="246">
        <f>SpectralData!G90</f>
        <v>0.87575989787333297</v>
      </c>
      <c r="H121" s="246">
        <f>SpectralData!H90</f>
        <v>0.53884469859333295</v>
      </c>
      <c r="I121" s="246">
        <f>SpectralData!I90</f>
        <v>0.67008841959999899</v>
      </c>
      <c r="J121" s="246">
        <f>SpectralData!J90</f>
        <v>0.86987319437333299</v>
      </c>
      <c r="K121" s="246">
        <f>SpectralData!K90</f>
        <v>0.829835052486666</v>
      </c>
      <c r="L121" s="246">
        <f>SpectralData!L90</f>
        <v>0.77551261393333304</v>
      </c>
      <c r="M121" s="246">
        <f>SpectralData!M90</f>
        <v>0.85218152364666599</v>
      </c>
      <c r="N121" s="246">
        <f>SpectralData!N90</f>
        <v>0.87064216613333301</v>
      </c>
    </row>
    <row r="122" spans="1:14">
      <c r="A122" s="232">
        <v>785</v>
      </c>
      <c r="B122" s="246">
        <f>SpectralData!B91</f>
        <v>0.876294830326666</v>
      </c>
      <c r="C122" s="246">
        <f>SpectralData!C91</f>
        <v>0.53086673737333301</v>
      </c>
      <c r="D122" s="246">
        <f>SpectralData!D91</f>
        <v>0.84856968689333301</v>
      </c>
      <c r="E122" s="246">
        <f>SpectralData!E91</f>
        <v>0.85488990275333299</v>
      </c>
      <c r="F122" s="246">
        <f>SpectralData!F91</f>
        <v>0.65419745635333304</v>
      </c>
      <c r="G122" s="246">
        <f>SpectralData!G91</f>
        <v>0.880013336179999</v>
      </c>
      <c r="H122" s="246">
        <f>SpectralData!H91</f>
        <v>0.58342050680000002</v>
      </c>
      <c r="I122" s="246">
        <f>SpectralData!I91</f>
        <v>0.70124273173999896</v>
      </c>
      <c r="J122" s="246">
        <f>SpectralData!J91</f>
        <v>0.87560368855333304</v>
      </c>
      <c r="K122" s="246">
        <f>SpectralData!K91</f>
        <v>0.84184694416666594</v>
      </c>
      <c r="L122" s="246">
        <f>SpectralData!L91</f>
        <v>0.79454717509333295</v>
      </c>
      <c r="M122" s="246">
        <f>SpectralData!M91</f>
        <v>0.86097343445333296</v>
      </c>
      <c r="N122" s="246">
        <f>SpectralData!N91</f>
        <v>0.87639361063333299</v>
      </c>
    </row>
    <row r="123" spans="1:14">
      <c r="A123" s="232">
        <v>790</v>
      </c>
      <c r="B123" s="246">
        <f>SpectralData!B92</f>
        <v>0.88051632690666604</v>
      </c>
      <c r="C123" s="246">
        <f>SpectralData!C92</f>
        <v>0.57568586476666594</v>
      </c>
      <c r="D123" s="246">
        <f>SpectralData!D92</f>
        <v>0.85508746847333295</v>
      </c>
      <c r="E123" s="246">
        <f>SpectralData!E92</f>
        <v>0.86041093952666603</v>
      </c>
      <c r="F123" s="246">
        <f>SpectralData!F92</f>
        <v>0.68779219055333296</v>
      </c>
      <c r="G123" s="246">
        <f>SpectralData!G92</f>
        <v>0.88267039489999899</v>
      </c>
      <c r="H123" s="246">
        <f>SpectralData!H92</f>
        <v>0.62374484761333304</v>
      </c>
      <c r="I123" s="246">
        <f>SpectralData!I92</f>
        <v>0.72865894572000001</v>
      </c>
      <c r="J123" s="246">
        <f>SpectralData!J92</f>
        <v>0.87971986388000001</v>
      </c>
      <c r="K123" s="246">
        <f>SpectralData!K92</f>
        <v>0.85036293538666596</v>
      </c>
      <c r="L123" s="246">
        <f>SpectralData!L92</f>
        <v>0.81004840087999896</v>
      </c>
      <c r="M123" s="246">
        <f>SpectralData!M92</f>
        <v>0.86569456990666604</v>
      </c>
      <c r="N123" s="246">
        <f>SpectralData!N92</f>
        <v>0.87987471007999896</v>
      </c>
    </row>
    <row r="124" spans="1:14">
      <c r="A124" s="232">
        <v>795</v>
      </c>
      <c r="B124" s="246">
        <f>SpectralData!B93</f>
        <v>0.88374048360666602</v>
      </c>
      <c r="C124" s="246">
        <f>SpectralData!C93</f>
        <v>0.61724351247333298</v>
      </c>
      <c r="D124" s="246">
        <f>SpectralData!D93</f>
        <v>0.86184029642000004</v>
      </c>
      <c r="E124" s="246">
        <f>SpectralData!E93</f>
        <v>0.86650043741999905</v>
      </c>
      <c r="F124" s="246">
        <f>SpectralData!F93</f>
        <v>0.71782236734666605</v>
      </c>
      <c r="G124" s="246">
        <f>SpectralData!G93</f>
        <v>0.88492492676666601</v>
      </c>
      <c r="H124" s="246">
        <f>SpectralData!H93</f>
        <v>0.66071134949333299</v>
      </c>
      <c r="I124" s="246">
        <f>SpectralData!I93</f>
        <v>0.75299979655333305</v>
      </c>
      <c r="J124" s="246">
        <f>SpectralData!J93</f>
        <v>0.88299630230000004</v>
      </c>
      <c r="K124" s="246">
        <f>SpectralData!K93</f>
        <v>0.85854662068666598</v>
      </c>
      <c r="L124" s="246">
        <f>SpectralData!L93</f>
        <v>0.82347512307333304</v>
      </c>
      <c r="M124" s="246">
        <f>SpectralData!M93</f>
        <v>0.87096851602666603</v>
      </c>
      <c r="N124" s="246">
        <f>SpectralData!N93</f>
        <v>0.88225670368666598</v>
      </c>
    </row>
    <row r="125" spans="1:14">
      <c r="A125" s="232">
        <v>800</v>
      </c>
      <c r="B125" s="246">
        <f>SpectralData!B94</f>
        <v>0.88700676981333304</v>
      </c>
      <c r="C125" s="246">
        <f>SpectralData!C94</f>
        <v>0.65647800953333302</v>
      </c>
      <c r="D125" s="246">
        <f>SpectralData!D94</f>
        <v>0.86633989970000003</v>
      </c>
      <c r="E125" s="246">
        <f>SpectralData!E94</f>
        <v>0.87124440002666603</v>
      </c>
      <c r="F125" s="246">
        <f>SpectralData!F94</f>
        <v>0.743834889733333</v>
      </c>
      <c r="G125" s="246">
        <f>SpectralData!G94</f>
        <v>0.88705492146666598</v>
      </c>
      <c r="H125" s="246">
        <f>SpectralData!H94</f>
        <v>0.69370469156666603</v>
      </c>
      <c r="I125" s="246">
        <f>SpectralData!I94</f>
        <v>0.77373855590666596</v>
      </c>
      <c r="J125" s="246">
        <f>SpectralData!J94</f>
        <v>0.88659564207999997</v>
      </c>
      <c r="K125" s="246">
        <f>SpectralData!K94</f>
        <v>0.86391696675333296</v>
      </c>
      <c r="L125" s="246">
        <f>SpectralData!L94</f>
        <v>0.83562261453999898</v>
      </c>
      <c r="M125" s="246">
        <f>SpectralData!M94</f>
        <v>0.87506335448000006</v>
      </c>
      <c r="N125" s="246">
        <f>SpectralData!N94</f>
        <v>0.88469576007999895</v>
      </c>
    </row>
    <row r="126" spans="1:14">
      <c r="A126" s="232">
        <v>805</v>
      </c>
      <c r="B126" s="246">
        <f>SpectralData!B95</f>
        <v>0.89019478862666601</v>
      </c>
      <c r="C126" s="246">
        <f>SpectralData!C95</f>
        <v>0.69174107870666601</v>
      </c>
      <c r="D126" s="246">
        <f>SpectralData!D95</f>
        <v>0.87232678732666602</v>
      </c>
      <c r="E126" s="246">
        <f>SpectralData!E95</f>
        <v>0.87615160116666602</v>
      </c>
      <c r="F126" s="246">
        <f>SpectralData!F95</f>
        <v>0.76822529093333303</v>
      </c>
      <c r="G126" s="246">
        <f>SpectralData!G95</f>
        <v>0.88994416808666599</v>
      </c>
      <c r="H126" s="246">
        <f>SpectralData!H95</f>
        <v>0.72466725160000001</v>
      </c>
      <c r="I126" s="246">
        <f>SpectralData!I95</f>
        <v>0.79324741616666605</v>
      </c>
      <c r="J126" s="246">
        <f>SpectralData!J95</f>
        <v>0.889763392133333</v>
      </c>
      <c r="K126" s="246">
        <f>SpectralData!K95</f>
        <v>0.87111710612666604</v>
      </c>
      <c r="L126" s="246">
        <f>SpectralData!L95</f>
        <v>0.846643402106666</v>
      </c>
      <c r="M126" s="246">
        <f>SpectralData!M95</f>
        <v>0.87981113688000001</v>
      </c>
      <c r="N126" s="246">
        <f>SpectralData!N95</f>
        <v>0.888055913293333</v>
      </c>
    </row>
    <row r="127" spans="1:14">
      <c r="A127" s="232">
        <v>810</v>
      </c>
      <c r="B127" s="246">
        <f>SpectralData!B96</f>
        <v>0.89172747803333297</v>
      </c>
      <c r="C127" s="246">
        <f>SpectralData!C96</f>
        <v>0.72112785848000005</v>
      </c>
      <c r="D127" s="246">
        <f>SpectralData!D96</f>
        <v>0.87603222147333304</v>
      </c>
      <c r="E127" s="246">
        <f>SpectralData!E96</f>
        <v>0.87937445576666595</v>
      </c>
      <c r="F127" s="246">
        <f>SpectralData!F96</f>
        <v>0.78719220987333305</v>
      </c>
      <c r="G127" s="246">
        <f>SpectralData!G96</f>
        <v>0.89076167296666597</v>
      </c>
      <c r="H127" s="246">
        <f>SpectralData!H96</f>
        <v>0.74868676250666599</v>
      </c>
      <c r="I127" s="246">
        <f>SpectralData!I96</f>
        <v>0.80979677836666597</v>
      </c>
      <c r="J127" s="246">
        <f>SpectralData!J96</f>
        <v>0.89241129558666599</v>
      </c>
      <c r="K127" s="246">
        <f>SpectralData!K96</f>
        <v>0.87682132465999896</v>
      </c>
      <c r="L127" s="246">
        <f>SpectralData!L96</f>
        <v>0.85527692160666602</v>
      </c>
      <c r="M127" s="246">
        <f>SpectralData!M96</f>
        <v>0.88297607932</v>
      </c>
      <c r="N127" s="246">
        <f>SpectralData!N96</f>
        <v>0.88998637898666599</v>
      </c>
    </row>
    <row r="128" spans="1:14">
      <c r="A128" s="232">
        <v>815</v>
      </c>
      <c r="B128" s="246">
        <f>SpectralData!B97</f>
        <v>0.89384432983333295</v>
      </c>
      <c r="C128" s="246">
        <f>SpectralData!C97</f>
        <v>0.74755565897999898</v>
      </c>
      <c r="D128" s="246">
        <f>SpectralData!D97</f>
        <v>0.87918889871999895</v>
      </c>
      <c r="E128" s="246">
        <f>SpectralData!E97</f>
        <v>0.88209536235999997</v>
      </c>
      <c r="F128" s="246">
        <f>SpectralData!F97</f>
        <v>0.80484053548000001</v>
      </c>
      <c r="G128" s="246">
        <f>SpectralData!G97</f>
        <v>0.89289344280000005</v>
      </c>
      <c r="H128" s="246">
        <f>SpectralData!H97</f>
        <v>0.77211223347999902</v>
      </c>
      <c r="I128" s="246">
        <f>SpectralData!I97</f>
        <v>0.82366551207999905</v>
      </c>
      <c r="J128" s="246">
        <f>SpectralData!J97</f>
        <v>0.89342755127333295</v>
      </c>
      <c r="K128" s="246">
        <f>SpectralData!K97</f>
        <v>0.88151812235999905</v>
      </c>
      <c r="L128" s="246">
        <f>SpectralData!L97</f>
        <v>0.86302863058000001</v>
      </c>
      <c r="M128" s="246">
        <f>SpectralData!M97</f>
        <v>0.88605685425333303</v>
      </c>
      <c r="N128" s="246">
        <f>SpectralData!N97</f>
        <v>0.89173320515333299</v>
      </c>
    </row>
    <row r="129" spans="1:14">
      <c r="A129" s="232">
        <v>820</v>
      </c>
      <c r="B129" s="246">
        <f>SpectralData!B98</f>
        <v>0.89566016641999902</v>
      </c>
      <c r="C129" s="246">
        <f>SpectralData!C98</f>
        <v>0.77149720762666596</v>
      </c>
      <c r="D129" s="246">
        <f>SpectralData!D98</f>
        <v>0.88276709494000005</v>
      </c>
      <c r="E129" s="246">
        <f>SpectralData!E98</f>
        <v>0.88503936260000005</v>
      </c>
      <c r="F129" s="246">
        <f>SpectralData!F98</f>
        <v>0.82071514383333299</v>
      </c>
      <c r="G129" s="246">
        <f>SpectralData!G98</f>
        <v>0.89456826273333301</v>
      </c>
      <c r="H129" s="246">
        <f>SpectralData!H98</f>
        <v>0.79131010436666605</v>
      </c>
      <c r="I129" s="246">
        <f>SpectralData!I98</f>
        <v>0.83571406045999896</v>
      </c>
      <c r="J129" s="246">
        <f>SpectralData!J98</f>
        <v>0.89618285624666605</v>
      </c>
      <c r="K129" s="246">
        <f>SpectralData!K98</f>
        <v>0.88487123107999999</v>
      </c>
      <c r="L129" s="246">
        <f>SpectralData!L98</f>
        <v>0.86972770692000001</v>
      </c>
      <c r="M129" s="246">
        <f>SpectralData!M98</f>
        <v>0.88806024676666595</v>
      </c>
      <c r="N129" s="246">
        <f>SpectralData!N98</f>
        <v>0.89317331441999903</v>
      </c>
    </row>
    <row r="130" spans="1:14">
      <c r="A130" s="232">
        <v>825</v>
      </c>
      <c r="B130" s="246">
        <f>SpectralData!B99</f>
        <v>0.89755051675999897</v>
      </c>
      <c r="C130" s="246">
        <f>SpectralData!C99</f>
        <v>0.79097544860666602</v>
      </c>
      <c r="D130" s="246">
        <f>SpectralData!D99</f>
        <v>0.88547144063333305</v>
      </c>
      <c r="E130" s="246">
        <f>SpectralData!E99</f>
        <v>0.88693385314666595</v>
      </c>
      <c r="F130" s="246">
        <f>SpectralData!F99</f>
        <v>0.83309611001999895</v>
      </c>
      <c r="G130" s="246">
        <f>SpectralData!G99</f>
        <v>0.89510593667333305</v>
      </c>
      <c r="H130" s="246">
        <f>SpectralData!H99</f>
        <v>0.807690561933333</v>
      </c>
      <c r="I130" s="246">
        <f>SpectralData!I99</f>
        <v>0.84600283305333301</v>
      </c>
      <c r="J130" s="246">
        <f>SpectralData!J99</f>
        <v>0.89736074830000001</v>
      </c>
      <c r="K130" s="246">
        <f>SpectralData!K99</f>
        <v>0.88811683146666598</v>
      </c>
      <c r="L130" s="246">
        <f>SpectralData!L99</f>
        <v>0.87481673684666605</v>
      </c>
      <c r="M130" s="246">
        <f>SpectralData!M99</f>
        <v>0.89056793722666605</v>
      </c>
      <c r="N130" s="246">
        <f>SpectralData!N99</f>
        <v>0.89478699238000003</v>
      </c>
    </row>
    <row r="131" spans="1:14">
      <c r="A131" s="232">
        <v>830</v>
      </c>
      <c r="B131" s="246">
        <f>SpectralData!B100</f>
        <v>0.89961811320666596</v>
      </c>
      <c r="C131" s="246">
        <f>SpectralData!C100</f>
        <v>0.80881134541999899</v>
      </c>
      <c r="D131" s="246">
        <f>SpectralData!D100</f>
        <v>0.88861304728000001</v>
      </c>
      <c r="E131" s="246">
        <f>SpectralData!E100</f>
        <v>0.88985088602666595</v>
      </c>
      <c r="F131" s="246">
        <f>SpectralData!F100</f>
        <v>0.84458947753333302</v>
      </c>
      <c r="G131" s="246">
        <f>SpectralData!G100</f>
        <v>0.89666229756000004</v>
      </c>
      <c r="H131" s="246">
        <f>SpectralData!H100</f>
        <v>0.82328381856666599</v>
      </c>
      <c r="I131" s="246">
        <f>SpectralData!I100</f>
        <v>0.855699630746666</v>
      </c>
      <c r="J131" s="246">
        <f>SpectralData!J100</f>
        <v>0.89947637430000005</v>
      </c>
      <c r="K131" s="246">
        <f>SpectralData!K100</f>
        <v>0.89130697122000002</v>
      </c>
      <c r="L131" s="246">
        <f>SpectralData!L100</f>
        <v>0.88044631957999997</v>
      </c>
      <c r="M131" s="246">
        <f>SpectralData!M100</f>
        <v>0.89309919737999999</v>
      </c>
      <c r="N131" s="246">
        <f>SpectralData!N100</f>
        <v>0.89701505024666595</v>
      </c>
    </row>
    <row r="133" spans="1:14" ht="12.75" customHeight="1">
      <c r="A133" s="273"/>
      <c r="B133" s="274"/>
      <c r="C133" s="274"/>
      <c r="D133" s="274"/>
      <c r="E133" s="274"/>
      <c r="F133" s="274"/>
      <c r="G133" s="274"/>
      <c r="H133" s="274"/>
      <c r="I133" s="274"/>
      <c r="J133" s="274"/>
      <c r="K133" s="274"/>
      <c r="L133" s="274"/>
      <c r="M133" s="274"/>
      <c r="N133" s="274"/>
    </row>
    <row r="134" spans="1:14">
      <c r="C134" s="254" t="str">
        <f>$C$67</f>
        <v>IAM-9C Cal Data Report rev 2-01.xls</v>
      </c>
      <c r="D134" s="254"/>
      <c r="E134" s="254"/>
      <c r="F134" s="254"/>
      <c r="G134" s="254"/>
      <c r="H134" s="254" t="str">
        <f>$H$67</f>
        <v>Copyright 2019, Applied Image, Inc.</v>
      </c>
      <c r="I134" s="254"/>
      <c r="J134" s="254"/>
      <c r="K134" s="254"/>
      <c r="L134" s="224" t="s">
        <v>178</v>
      </c>
    </row>
    <row r="136" spans="1:14">
      <c r="B136" s="249" t="str">
        <f>$D$8</f>
        <v>Part Number:</v>
      </c>
      <c r="C136" s="191" t="str">
        <f>$E$8</f>
        <v xml:space="preserve"> IAM-9C</v>
      </c>
      <c r="E136" s="249" t="str">
        <f>$D$9</f>
        <v>Serial Number:</v>
      </c>
      <c r="F136" s="286" t="str">
        <f>$E$9</f>
        <v>IAM-9C-00446</v>
      </c>
      <c r="G136" s="286"/>
      <c r="I136" s="249" t="str">
        <f>$D$10</f>
        <v>Calibration Date:</v>
      </c>
      <c r="J136" s="191" t="str">
        <f>SpectralData!C110</f>
        <v>Dec-16-2021</v>
      </c>
      <c r="L136" s="249" t="str">
        <f>$J$8</f>
        <v>Job Number:</v>
      </c>
      <c r="M136" s="250" t="str">
        <f>$K$8</f>
        <v>27884-01</v>
      </c>
    </row>
    <row r="137" spans="1:14">
      <c r="B137" s="249"/>
      <c r="E137" s="249"/>
      <c r="I137" s="249"/>
      <c r="L137" s="249"/>
      <c r="M137" s="250"/>
    </row>
    <row r="138" spans="1:14">
      <c r="B138" s="249"/>
      <c r="E138" s="249"/>
      <c r="I138" s="249"/>
      <c r="L138" s="249"/>
      <c r="M138" s="250"/>
    </row>
    <row r="139" spans="1:14" ht="18">
      <c r="D139" s="233" t="s">
        <v>163</v>
      </c>
    </row>
    <row r="140" spans="1:14" ht="18.600000000000001" thickBot="1">
      <c r="E140" s="233"/>
      <c r="F140" s="233" t="s">
        <v>179</v>
      </c>
    </row>
    <row r="141" spans="1:14">
      <c r="A141" s="255"/>
      <c r="B141" s="236" t="s">
        <v>175</v>
      </c>
      <c r="C141" s="236" t="s">
        <v>171</v>
      </c>
      <c r="D141" s="236" t="s">
        <v>166</v>
      </c>
      <c r="E141" s="236" t="s">
        <v>166</v>
      </c>
      <c r="F141" s="236" t="s">
        <v>180</v>
      </c>
      <c r="G141" s="236" t="s">
        <v>172</v>
      </c>
      <c r="H141" s="236" t="s">
        <v>181</v>
      </c>
      <c r="I141" s="236" t="s">
        <v>77</v>
      </c>
      <c r="J141" s="236"/>
      <c r="K141" s="236" t="s">
        <v>77</v>
      </c>
      <c r="L141" s="236" t="s">
        <v>182</v>
      </c>
      <c r="M141" s="237" t="s">
        <v>183</v>
      </c>
    </row>
    <row r="142" spans="1:14" ht="15" thickBot="1">
      <c r="A142" s="238" t="s">
        <v>26</v>
      </c>
      <c r="B142" s="239" t="s">
        <v>171</v>
      </c>
      <c r="C142" s="239" t="s">
        <v>76</v>
      </c>
      <c r="D142" s="239">
        <v>5</v>
      </c>
      <c r="E142" s="239">
        <v>3.5</v>
      </c>
      <c r="F142" s="239">
        <v>2</v>
      </c>
      <c r="G142" s="239" t="s">
        <v>77</v>
      </c>
      <c r="H142" s="239" t="s">
        <v>76</v>
      </c>
      <c r="I142" s="239" t="s">
        <v>184</v>
      </c>
      <c r="J142" s="239" t="s">
        <v>185</v>
      </c>
      <c r="K142" s="239" t="s">
        <v>186</v>
      </c>
      <c r="L142" s="239" t="s">
        <v>187</v>
      </c>
      <c r="M142" s="240" t="s">
        <v>187</v>
      </c>
    </row>
    <row r="143" spans="1:14" ht="15" thickBot="1">
      <c r="A143" s="241" t="s">
        <v>53</v>
      </c>
      <c r="B143" s="242" t="s">
        <v>137</v>
      </c>
      <c r="C143" s="244" t="s">
        <v>138</v>
      </c>
      <c r="D143" s="244" t="s">
        <v>139</v>
      </c>
      <c r="E143" s="244" t="s">
        <v>140</v>
      </c>
      <c r="F143" s="244" t="s">
        <v>141</v>
      </c>
      <c r="G143" s="244" t="s">
        <v>142</v>
      </c>
      <c r="H143" s="244" t="s">
        <v>143</v>
      </c>
      <c r="I143" s="244" t="s">
        <v>144</v>
      </c>
      <c r="J143" s="244" t="s">
        <v>145</v>
      </c>
      <c r="K143" s="244" t="s">
        <v>146</v>
      </c>
      <c r="L143" s="244" t="s">
        <v>147</v>
      </c>
      <c r="M143" s="245" t="s">
        <v>148</v>
      </c>
    </row>
    <row r="144" spans="1:14">
      <c r="A144" s="232">
        <v>340</v>
      </c>
      <c r="B144" s="246">
        <f>SpectralData!O2</f>
        <v>5.0048280200666603E-5</v>
      </c>
      <c r="C144" s="246">
        <f>SpectralData!P2</f>
        <v>-7.4941158228166598E-5</v>
      </c>
      <c r="D144" s="246">
        <f>SpectralData!Q2</f>
        <v>-1.76488125481666E-5</v>
      </c>
      <c r="E144" s="246">
        <f>SpectralData!R2</f>
        <v>-3.8371497765166598E-5</v>
      </c>
      <c r="F144" s="246">
        <f>SpectralData!S2</f>
        <v>9.8598226866666593E-6</v>
      </c>
      <c r="G144" s="246">
        <f>SpectralData!T2</f>
        <v>-5.4438429565333299E-5</v>
      </c>
      <c r="H144" s="246">
        <f>SpectralData!U2</f>
        <v>1.06425235354666E-4</v>
      </c>
      <c r="I144" s="246">
        <f>SpectralData!V2</f>
        <v>-1.4099592348666601E-5</v>
      </c>
      <c r="J144" s="246">
        <f>SpectralData!W2</f>
        <v>-3.8353064779199898E-5</v>
      </c>
      <c r="K144" s="246">
        <f>SpectralData!X2</f>
        <v>-4.5527787258666602E-5</v>
      </c>
      <c r="L144" s="246">
        <f>SpectralData!Y2</f>
        <v>3.1046028244666602E-5</v>
      </c>
      <c r="M144" s="246">
        <f>SpectralData!Z2</f>
        <v>5.3356607135333303E-5</v>
      </c>
    </row>
    <row r="145" spans="1:13">
      <c r="A145" s="232">
        <v>345</v>
      </c>
      <c r="B145" s="246">
        <f>SpectralData!O3</f>
        <v>-6.0703057488000002E-5</v>
      </c>
      <c r="C145" s="246">
        <f>SpectralData!P3</f>
        <v>-5.9801001595600001E-5</v>
      </c>
      <c r="D145" s="246">
        <f>SpectralData!Q3</f>
        <v>-1.0003540345333301E-5</v>
      </c>
      <c r="E145" s="246">
        <f>SpectralData!R3</f>
        <v>2.2249498226666702E-6</v>
      </c>
      <c r="F145" s="246">
        <f>SpectralData!S3</f>
        <v>1.01677476425333E-4</v>
      </c>
      <c r="G145" s="246">
        <f>SpectralData!T3</f>
        <v>-1.8662649439266601E-4</v>
      </c>
      <c r="H145" s="246">
        <f>SpectralData!U3</f>
        <v>-1.015823405734E-4</v>
      </c>
      <c r="I145" s="246">
        <f>SpectralData!V3</f>
        <v>-4.4480907341466603E-5</v>
      </c>
      <c r="J145" s="246">
        <f>SpectralData!W3</f>
        <v>-6.8475782566666604E-5</v>
      </c>
      <c r="K145" s="246">
        <f>SpectralData!X3</f>
        <v>-1.2456165472666599E-5</v>
      </c>
      <c r="L145" s="246">
        <f>SpectralData!Y3</f>
        <v>2.4269280024000001E-5</v>
      </c>
      <c r="M145" s="246">
        <f>SpectralData!Z3</f>
        <v>1.5563450141333299E-5</v>
      </c>
    </row>
    <row r="146" spans="1:13">
      <c r="A146" s="232">
        <v>350</v>
      </c>
      <c r="B146" s="246">
        <f>SpectralData!O4</f>
        <v>3.032675114095E-4</v>
      </c>
      <c r="C146" s="246">
        <f>SpectralData!P4</f>
        <v>3.0793417493533298E-4</v>
      </c>
      <c r="D146" s="246">
        <f>SpectralData!Q4</f>
        <v>2.30358241217293E-4</v>
      </c>
      <c r="E146" s="246">
        <f>SpectralData!R4</f>
        <v>1.4442098808133301E-4</v>
      </c>
      <c r="F146" s="246">
        <f>SpectralData!S4</f>
        <v>1.08844103905333E-4</v>
      </c>
      <c r="G146" s="246">
        <f>SpectralData!T4</f>
        <v>1.3532392804800001E-4</v>
      </c>
      <c r="H146" s="246">
        <f>SpectralData!U4</f>
        <v>1.18291062273133E-4</v>
      </c>
      <c r="I146" s="246">
        <f>SpectralData!V4</f>
        <v>2.6296244747266601E-4</v>
      </c>
      <c r="J146" s="246">
        <f>SpectralData!W4</f>
        <v>2.6310507176266598E-4</v>
      </c>
      <c r="K146" s="246">
        <f>SpectralData!X4</f>
        <v>2.87583200880666E-4</v>
      </c>
      <c r="L146" s="246">
        <f>SpectralData!Y4</f>
        <v>2.2461290268000001E-4</v>
      </c>
      <c r="M146" s="246">
        <f>SpectralData!Z4</f>
        <v>2.12150196238166E-4</v>
      </c>
    </row>
    <row r="147" spans="1:13">
      <c r="A147" s="232">
        <v>355</v>
      </c>
      <c r="B147" s="246">
        <f>SpectralData!O5</f>
        <v>-3.9332440721333298E-5</v>
      </c>
      <c r="C147" s="246">
        <f>SpectralData!P5</f>
        <v>1.6805511514466599E-5</v>
      </c>
      <c r="D147" s="246">
        <f>SpectralData!Q5</f>
        <v>7.6769562473333301E-6</v>
      </c>
      <c r="E147" s="246">
        <f>SpectralData!R5</f>
        <v>-7.9966077581333298E-5</v>
      </c>
      <c r="F147" s="246">
        <f>SpectralData!S5</f>
        <v>-1.21837934393333E-4</v>
      </c>
      <c r="G147" s="246">
        <f>SpectralData!T5</f>
        <v>-6.1770662653333301E-5</v>
      </c>
      <c r="H147" s="246">
        <f>SpectralData!U5</f>
        <v>-3.5627772398000001E-5</v>
      </c>
      <c r="I147" s="246">
        <f>SpectralData!V5</f>
        <v>-2.5151396860999901E-5</v>
      </c>
      <c r="J147" s="246">
        <f>SpectralData!W5</f>
        <v>-4.0904404913333298E-5</v>
      </c>
      <c r="K147" s="246">
        <f>SpectralData!X5</f>
        <v>5.0156214279999898E-5</v>
      </c>
      <c r="L147" s="246">
        <f>SpectralData!Y5</f>
        <v>-7.3765118990000005E-5</v>
      </c>
      <c r="M147" s="246">
        <f>SpectralData!Z5</f>
        <v>-1.6991648477066601E-5</v>
      </c>
    </row>
    <row r="148" spans="1:13">
      <c r="A148" s="232">
        <v>360</v>
      </c>
      <c r="B148" s="246">
        <f>SpectralData!O6</f>
        <v>2.6017327029999999E-5</v>
      </c>
      <c r="C148" s="246">
        <f>SpectralData!P6</f>
        <v>1.0910427400066601E-4</v>
      </c>
      <c r="D148" s="246">
        <f>SpectralData!Q6</f>
        <v>4.7629195253333298E-5</v>
      </c>
      <c r="E148" s="246">
        <f>SpectralData!R6</f>
        <v>8.5473742799533294E-5</v>
      </c>
      <c r="F148" s="246">
        <f>SpectralData!S6</f>
        <v>6.0633153069333298E-5</v>
      </c>
      <c r="G148" s="246">
        <f>SpectralData!T6</f>
        <v>7.2021163682933303E-5</v>
      </c>
      <c r="H148" s="246">
        <f>SpectralData!U6</f>
        <v>1.4393476924533301E-4</v>
      </c>
      <c r="I148" s="246">
        <f>SpectralData!V6</f>
        <v>6.0178809488666601E-5</v>
      </c>
      <c r="J148" s="246">
        <f>SpectralData!W6</f>
        <v>3.53096324626666E-5</v>
      </c>
      <c r="K148" s="246">
        <f>SpectralData!X6</f>
        <v>2.67565568633333E-5</v>
      </c>
      <c r="L148" s="246">
        <f>SpectralData!Y6</f>
        <v>3.9156744882666598E-5</v>
      </c>
      <c r="M148" s="246">
        <f>SpectralData!Z6</f>
        <v>4.1749875977333303E-5</v>
      </c>
    </row>
    <row r="149" spans="1:13">
      <c r="A149" s="232">
        <v>365</v>
      </c>
      <c r="B149" s="246">
        <f>SpectralData!O7</f>
        <v>-1.2534426465199899E-4</v>
      </c>
      <c r="C149" s="246">
        <f>SpectralData!P7</f>
        <v>-1.4926742917066601E-4</v>
      </c>
      <c r="D149" s="246">
        <f>SpectralData!Q7</f>
        <v>-1.8142050862066599E-4</v>
      </c>
      <c r="E149" s="246">
        <f>SpectralData!R7</f>
        <v>-2.216266318784E-4</v>
      </c>
      <c r="F149" s="246">
        <f>SpectralData!S7</f>
        <v>-1.2987489161299899E-4</v>
      </c>
      <c r="G149" s="246">
        <f>SpectralData!T7</f>
        <v>-1.31534648039733E-4</v>
      </c>
      <c r="H149" s="246">
        <f>SpectralData!U7</f>
        <v>-9.1709174372333303E-5</v>
      </c>
      <c r="I149" s="246">
        <f>SpectralData!V7</f>
        <v>-1.3689616233326601E-4</v>
      </c>
      <c r="J149" s="246">
        <f>SpectralData!W7</f>
        <v>-4.3121746429333303E-5</v>
      </c>
      <c r="K149" s="246">
        <f>SpectralData!X7</f>
        <v>-1.57952583089999E-4</v>
      </c>
      <c r="L149" s="246">
        <f>SpectralData!Y7</f>
        <v>-6.6096234252666607E-5</v>
      </c>
      <c r="M149" s="246">
        <f>SpectralData!Z7</f>
        <v>-1.2334732046665001E-7</v>
      </c>
    </row>
    <row r="150" spans="1:13">
      <c r="A150" s="232">
        <v>370</v>
      </c>
      <c r="B150" s="246">
        <f>SpectralData!O8</f>
        <v>-1.32067217580666E-4</v>
      </c>
      <c r="C150" s="246">
        <f>SpectralData!P8</f>
        <v>-2.9716949998666601E-5</v>
      </c>
      <c r="D150" s="246">
        <f>SpectralData!Q8</f>
        <v>-1.11883609863999E-4</v>
      </c>
      <c r="E150" s="246">
        <f>SpectralData!R8</f>
        <v>-1.80481851718E-4</v>
      </c>
      <c r="F150" s="246">
        <f>SpectralData!S8</f>
        <v>-1.17656576123333E-4</v>
      </c>
      <c r="G150" s="246">
        <f>SpectralData!T8</f>
        <v>-1.03597477076666E-4</v>
      </c>
      <c r="H150" s="246">
        <f>SpectralData!U8</f>
        <v>2.0462289468666601E-5</v>
      </c>
      <c r="I150" s="246">
        <f>SpectralData!V8</f>
        <v>-4.0226822377333303E-5</v>
      </c>
      <c r="J150" s="246">
        <f>SpectralData!W8</f>
        <v>-7.7714865554666604E-5</v>
      </c>
      <c r="K150" s="246">
        <f>SpectralData!X8</f>
        <v>3.9235187719999897E-5</v>
      </c>
      <c r="L150" s="246">
        <f>SpectralData!Y8</f>
        <v>8.5609257530599896E-6</v>
      </c>
      <c r="M150" s="246">
        <f>SpectralData!Z8</f>
        <v>-1.03654249958666E-5</v>
      </c>
    </row>
    <row r="151" spans="1:13">
      <c r="A151" s="232">
        <v>375</v>
      </c>
      <c r="B151" s="246">
        <f>SpectralData!O9</f>
        <v>-2.19864875742666E-4</v>
      </c>
      <c r="C151" s="246">
        <f>SpectralData!P9</f>
        <v>-1.8967010992399999E-4</v>
      </c>
      <c r="D151" s="246">
        <f>SpectralData!Q9</f>
        <v>-1.9831548042799899E-4</v>
      </c>
      <c r="E151" s="246">
        <f>SpectralData!R9</f>
        <v>-3.82626746732666E-4</v>
      </c>
      <c r="F151" s="246">
        <f>SpectralData!S9</f>
        <v>-2.5478649199800002E-4</v>
      </c>
      <c r="G151" s="246">
        <f>SpectralData!T9</f>
        <v>-1.49580062995333E-4</v>
      </c>
      <c r="H151" s="246">
        <f>SpectralData!U9</f>
        <v>-1.7938976117466601E-4</v>
      </c>
      <c r="I151" s="246">
        <f>SpectralData!V9</f>
        <v>-2.47378240208E-4</v>
      </c>
      <c r="J151" s="246">
        <f>SpectralData!W9</f>
        <v>-3.8320213580900003E-4</v>
      </c>
      <c r="K151" s="246">
        <f>SpectralData!X9</f>
        <v>-1.94050671614333E-4</v>
      </c>
      <c r="L151" s="246">
        <f>SpectralData!Y9</f>
        <v>-1.22035399669399E-4</v>
      </c>
      <c r="M151" s="246">
        <f>SpectralData!Z9</f>
        <v>-2.9089558673266598E-4</v>
      </c>
    </row>
    <row r="152" spans="1:13">
      <c r="A152" s="232">
        <v>380</v>
      </c>
      <c r="B152" s="246">
        <f>SpectralData!O10</f>
        <v>6.3677100776666601E-5</v>
      </c>
      <c r="C152" s="246">
        <f>SpectralData!P10</f>
        <v>1.4247318198499901E-4</v>
      </c>
      <c r="D152" s="246">
        <f>SpectralData!Q10</f>
        <v>2.6008167675866599E-4</v>
      </c>
      <c r="E152" s="246">
        <f>SpectralData!R10</f>
        <v>1.5759385097866601E-4</v>
      </c>
      <c r="F152" s="246">
        <f>SpectralData!S10</f>
        <v>1.24960524965333E-4</v>
      </c>
      <c r="G152" s="246">
        <f>SpectralData!T10</f>
        <v>2.3155578797693301E-4</v>
      </c>
      <c r="H152" s="246">
        <f>SpectralData!U10</f>
        <v>2.3700841269199899E-4</v>
      </c>
      <c r="I152" s="246">
        <f>SpectralData!V10</f>
        <v>8.6303531559599997E-5</v>
      </c>
      <c r="J152" s="246">
        <f>SpectralData!W10</f>
        <v>1.9105878876799899E-4</v>
      </c>
      <c r="K152" s="246">
        <f>SpectralData!X10</f>
        <v>3.0679750907800001E-4</v>
      </c>
      <c r="L152" s="246">
        <f>SpectralData!Y10</f>
        <v>1.313837974502E-4</v>
      </c>
      <c r="M152" s="246">
        <f>SpectralData!Z10</f>
        <v>8.4873297562666604E-5</v>
      </c>
    </row>
    <row r="153" spans="1:13">
      <c r="A153" s="232">
        <v>385</v>
      </c>
      <c r="B153" s="246">
        <f>SpectralData!O11</f>
        <v>-2.53485482321333E-5</v>
      </c>
      <c r="C153" s="246">
        <f>SpectralData!P11</f>
        <v>8.2472963060599902E-5</v>
      </c>
      <c r="D153" s="246">
        <f>SpectralData!Q11</f>
        <v>2.2436751471533299E-4</v>
      </c>
      <c r="E153" s="246">
        <f>SpectralData!R11</f>
        <v>1.5059834571866601E-4</v>
      </c>
      <c r="F153" s="246">
        <f>SpectralData!S11</f>
        <v>1.9164369203619901E-4</v>
      </c>
      <c r="G153" s="246">
        <f>SpectralData!T11</f>
        <v>1.23274727716266E-4</v>
      </c>
      <c r="H153" s="246">
        <f>SpectralData!U11</f>
        <v>2.03449115615333E-4</v>
      </c>
      <c r="I153" s="246">
        <f>SpectralData!V11</f>
        <v>3.6592595184800001E-4</v>
      </c>
      <c r="J153" s="246">
        <f>SpectralData!W11</f>
        <v>1.84948172880999E-4</v>
      </c>
      <c r="K153" s="246">
        <f>SpectralData!X11</f>
        <v>1.27758052116666E-4</v>
      </c>
      <c r="L153" s="246">
        <f>SpectralData!Y11</f>
        <v>2.1301616875006601E-4</v>
      </c>
      <c r="M153" s="246">
        <f>SpectralData!Z11</f>
        <v>7.6459242952666605E-5</v>
      </c>
    </row>
    <row r="154" spans="1:13">
      <c r="A154" s="232">
        <v>390</v>
      </c>
      <c r="B154" s="246">
        <f>SpectralData!O12</f>
        <v>6.6582433916266602E-4</v>
      </c>
      <c r="C154" s="246">
        <f>SpectralData!P12</f>
        <v>8.1211660060666595E-4</v>
      </c>
      <c r="D154" s="246">
        <f>SpectralData!Q12</f>
        <v>1.33454207081333E-3</v>
      </c>
      <c r="E154" s="246">
        <f>SpectralData!R12</f>
        <v>7.4237297384533297E-4</v>
      </c>
      <c r="F154" s="246">
        <f>SpectralData!S12</f>
        <v>4.17502547000666E-4</v>
      </c>
      <c r="G154" s="246">
        <f>SpectralData!T12</f>
        <v>1.33272040390666E-3</v>
      </c>
      <c r="H154" s="246">
        <f>SpectralData!U12</f>
        <v>1.5967196821799999E-3</v>
      </c>
      <c r="I154" s="246">
        <f>SpectralData!V12</f>
        <v>1.7357590745333299E-3</v>
      </c>
      <c r="J154" s="246">
        <f>SpectralData!W12</f>
        <v>7.1193002286666597E-4</v>
      </c>
      <c r="K154" s="246">
        <f>SpectralData!X12</f>
        <v>1.3756034337599899E-3</v>
      </c>
      <c r="L154" s="246">
        <f>SpectralData!Y12</f>
        <v>1.6306361779266599E-3</v>
      </c>
      <c r="M154" s="246">
        <f>SpectralData!Z12</f>
        <v>8.1138778726666603E-4</v>
      </c>
    </row>
    <row r="155" spans="1:13">
      <c r="A155" s="232">
        <v>395</v>
      </c>
      <c r="B155" s="246">
        <f>SpectralData!O13</f>
        <v>5.4364322621999897E-3</v>
      </c>
      <c r="C155" s="246">
        <f>SpectralData!P13</f>
        <v>7.4539995190666597E-3</v>
      </c>
      <c r="D155" s="246">
        <f>SpectralData!Q13</f>
        <v>1.2301820297933299E-2</v>
      </c>
      <c r="E155" s="246">
        <f>SpectralData!R13</f>
        <v>7.4858539104666602E-3</v>
      </c>
      <c r="F155" s="246">
        <f>SpectralData!S13</f>
        <v>4.0614433784000002E-3</v>
      </c>
      <c r="G155" s="246">
        <f>SpectralData!T13</f>
        <v>1.28295458758E-2</v>
      </c>
      <c r="H155" s="246">
        <f>SpectralData!U13</f>
        <v>1.5910705565933301E-2</v>
      </c>
      <c r="I155" s="246">
        <f>SpectralData!V13</f>
        <v>1.8041985511866601E-2</v>
      </c>
      <c r="J155" s="246">
        <f>SpectralData!W13</f>
        <v>6.6083932918666599E-3</v>
      </c>
      <c r="K155" s="246">
        <f>SpectralData!X13</f>
        <v>1.3692553579466599E-2</v>
      </c>
      <c r="L155" s="246">
        <f>SpectralData!Y13</f>
        <v>1.5202483773333299E-2</v>
      </c>
      <c r="M155" s="246">
        <f>SpectralData!Z13</f>
        <v>7.1087627811333301E-3</v>
      </c>
    </row>
    <row r="156" spans="1:13">
      <c r="A156" s="232">
        <v>400</v>
      </c>
      <c r="B156" s="246">
        <f>SpectralData!O14</f>
        <v>1.9320991596666601E-2</v>
      </c>
      <c r="C156" s="246">
        <f>SpectralData!P14</f>
        <v>2.89077554546666E-2</v>
      </c>
      <c r="D156" s="246">
        <f>SpectralData!Q14</f>
        <v>5.4451065063333297E-2</v>
      </c>
      <c r="E156" s="246">
        <f>SpectralData!R14</f>
        <v>3.16489241926666E-2</v>
      </c>
      <c r="F156" s="246">
        <f>SpectralData!S14</f>
        <v>1.62367980876E-2</v>
      </c>
      <c r="G156" s="246">
        <f>SpectralData!T14</f>
        <v>6.01989291499999E-2</v>
      </c>
      <c r="H156" s="246">
        <f>SpectralData!U14</f>
        <v>7.4275568961999897E-2</v>
      </c>
      <c r="I156" s="246">
        <f>SpectralData!V14</f>
        <v>8.2323311494666596E-2</v>
      </c>
      <c r="J156" s="246">
        <f>SpectralData!W14</f>
        <v>2.6795743703333302E-2</v>
      </c>
      <c r="K156" s="246">
        <f>SpectralData!X14</f>
        <v>6.3702867348666606E-2</v>
      </c>
      <c r="L156" s="246">
        <f>SpectralData!Y14</f>
        <v>6.53751091966666E-2</v>
      </c>
      <c r="M156" s="246">
        <f>SpectralData!Z14</f>
        <v>2.8710169949999899E-2</v>
      </c>
    </row>
    <row r="157" spans="1:13">
      <c r="A157" s="232">
        <v>405</v>
      </c>
      <c r="B157" s="246">
        <f>SpectralData!O15</f>
        <v>3.2095463116666598E-2</v>
      </c>
      <c r="C157" s="246">
        <f>SpectralData!P15</f>
        <v>5.2784319242666598E-2</v>
      </c>
      <c r="D157" s="246">
        <f>SpectralData!Q15</f>
        <v>0.113041519169333</v>
      </c>
      <c r="E157" s="246">
        <f>SpectralData!R15</f>
        <v>6.2929017066000001E-2</v>
      </c>
      <c r="F157" s="246">
        <f>SpectralData!S15</f>
        <v>3.0684780756E-2</v>
      </c>
      <c r="G157" s="246">
        <f>SpectralData!T15</f>
        <v>0.135542590453333</v>
      </c>
      <c r="H157" s="246">
        <f>SpectralData!U15</f>
        <v>0.16695314215333301</v>
      </c>
      <c r="I157" s="246">
        <f>SpectralData!V15</f>
        <v>0.179382635126666</v>
      </c>
      <c r="J157" s="246">
        <f>SpectralData!W15</f>
        <v>5.1497197786666601E-2</v>
      </c>
      <c r="K157" s="246">
        <f>SpectralData!X15</f>
        <v>0.139213844933333</v>
      </c>
      <c r="L157" s="246">
        <f>SpectralData!Y15</f>
        <v>0.130937447873333</v>
      </c>
      <c r="M157" s="246">
        <f>SpectralData!Z15</f>
        <v>5.4281625112666598E-2</v>
      </c>
    </row>
    <row r="158" spans="1:13">
      <c r="A158" s="232">
        <v>410</v>
      </c>
      <c r="B158" s="246">
        <f>SpectralData!O16</f>
        <v>3.3126089889999898E-2</v>
      </c>
      <c r="C158" s="246">
        <f>SpectralData!P16</f>
        <v>6.0217024165333297E-2</v>
      </c>
      <c r="D158" s="246">
        <f>SpectralData!Q16</f>
        <v>0.146989044193333</v>
      </c>
      <c r="E158" s="246">
        <f>SpectralData!R16</f>
        <v>7.7721745491333302E-2</v>
      </c>
      <c r="F158" s="246">
        <f>SpectralData!S16</f>
        <v>3.5558938185333303E-2</v>
      </c>
      <c r="G158" s="246">
        <f>SpectralData!T16</f>
        <v>0.192183216086666</v>
      </c>
      <c r="H158" s="246">
        <f>SpectralData!U16</f>
        <v>0.23427175775999901</v>
      </c>
      <c r="I158" s="246">
        <f>SpectralData!V16</f>
        <v>0.24713640848000001</v>
      </c>
      <c r="J158" s="246">
        <f>SpectralData!W16</f>
        <v>6.11419604613333E-2</v>
      </c>
      <c r="K158" s="246">
        <f>SpectralData!X16</f>
        <v>0.192341882066666</v>
      </c>
      <c r="L158" s="246">
        <f>SpectralData!Y16</f>
        <v>0.165389353439999</v>
      </c>
      <c r="M158" s="246">
        <f>SpectralData!Z16</f>
        <v>6.3770593960666602E-2</v>
      </c>
    </row>
    <row r="159" spans="1:13">
      <c r="A159" s="232">
        <v>415</v>
      </c>
      <c r="B159" s="246">
        <f>SpectralData!O17</f>
        <v>2.7510495503333302E-2</v>
      </c>
      <c r="C159" s="246">
        <f>SpectralData!P17</f>
        <v>5.5067704836E-2</v>
      </c>
      <c r="D159" s="246">
        <f>SpectralData!Q17</f>
        <v>0.153867333733333</v>
      </c>
      <c r="E159" s="246">
        <f>SpectralData!R17</f>
        <v>7.7058776854000005E-2</v>
      </c>
      <c r="F159" s="246">
        <f>SpectralData!S17</f>
        <v>3.31410959559999E-2</v>
      </c>
      <c r="G159" s="246">
        <f>SpectralData!T17</f>
        <v>0.21906745148666601</v>
      </c>
      <c r="H159" s="246">
        <f>SpectralData!U17</f>
        <v>0.26473889416000002</v>
      </c>
      <c r="I159" s="246">
        <f>SpectralData!V17</f>
        <v>0.27605724207999899</v>
      </c>
      <c r="J159" s="246">
        <f>SpectralData!W17</f>
        <v>5.8376491229333298E-2</v>
      </c>
      <c r="K159" s="246">
        <f>SpectralData!X17</f>
        <v>0.21416918308666599</v>
      </c>
      <c r="L159" s="246">
        <f>SpectralData!Y17</f>
        <v>0.16939334742666601</v>
      </c>
      <c r="M159" s="246">
        <f>SpectralData!Z17</f>
        <v>6.0540137291333299E-2</v>
      </c>
    </row>
    <row r="160" spans="1:13">
      <c r="A160" s="232">
        <v>420</v>
      </c>
      <c r="B160" s="246">
        <f>SpectralData!O18</f>
        <v>2.12364728446666E-2</v>
      </c>
      <c r="C160" s="246">
        <f>SpectralData!P18</f>
        <v>4.6723699887333298E-2</v>
      </c>
      <c r="D160" s="246">
        <f>SpectralData!Q18</f>
        <v>0.147950469333333</v>
      </c>
      <c r="E160" s="246">
        <f>SpectralData!R18</f>
        <v>7.0502941131333305E-2</v>
      </c>
      <c r="F160" s="246">
        <f>SpectralData!S18</f>
        <v>2.8481143474666602E-2</v>
      </c>
      <c r="G160" s="246">
        <f>SpectralData!T18</f>
        <v>0.227759056093333</v>
      </c>
      <c r="H160" s="246">
        <f>SpectralData!U18</f>
        <v>0.27464865366000002</v>
      </c>
      <c r="I160" s="246">
        <f>SpectralData!V18</f>
        <v>0.28262569681999999</v>
      </c>
      <c r="J160" s="246">
        <f>SpectralData!W18</f>
        <v>5.1381365141333298E-2</v>
      </c>
      <c r="K160" s="246">
        <f>SpectralData!X18</f>
        <v>0.21809884007333299</v>
      </c>
      <c r="L160" s="246">
        <f>SpectralData!Y18</f>
        <v>0.15974292946666599</v>
      </c>
      <c r="M160" s="246">
        <f>SpectralData!Z18</f>
        <v>5.2684936522666599E-2</v>
      </c>
    </row>
    <row r="161" spans="1:13">
      <c r="A161" s="232">
        <v>425</v>
      </c>
      <c r="B161" s="246">
        <f>SpectralData!O19</f>
        <v>1.6192643722000001E-2</v>
      </c>
      <c r="C161" s="246">
        <f>SpectralData!P19</f>
        <v>3.8891272544666601E-2</v>
      </c>
      <c r="D161" s="246">
        <f>SpectralData!Q19</f>
        <v>0.138008230213333</v>
      </c>
      <c r="E161" s="246">
        <f>SpectralData!R19</f>
        <v>6.2187778472666599E-2</v>
      </c>
      <c r="F161" s="246">
        <f>SpectralData!S19</f>
        <v>2.3522893111999899E-2</v>
      </c>
      <c r="G161" s="246">
        <f>SpectralData!T19</f>
        <v>0.227042888646666</v>
      </c>
      <c r="H161" s="246">
        <f>SpectralData!U19</f>
        <v>0.27571091206666598</v>
      </c>
      <c r="I161" s="246">
        <f>SpectralData!V19</f>
        <v>0.278932571406666</v>
      </c>
      <c r="J161" s="246">
        <f>SpectralData!W19</f>
        <v>4.3803259849999901E-2</v>
      </c>
      <c r="K161" s="246">
        <f>SpectralData!X19</f>
        <v>0.21449161657333299</v>
      </c>
      <c r="L161" s="246">
        <f>SpectralData!Y19</f>
        <v>0.14653838093333299</v>
      </c>
      <c r="M161" s="246">
        <f>SpectralData!Z19</f>
        <v>4.4634311038666601E-2</v>
      </c>
    </row>
    <row r="162" spans="1:13">
      <c r="A162" s="232">
        <v>430</v>
      </c>
      <c r="B162" s="246">
        <f>SpectralData!O20</f>
        <v>1.27691980213333E-2</v>
      </c>
      <c r="C162" s="246">
        <f>SpectralData!P20</f>
        <v>3.30374468166666E-2</v>
      </c>
      <c r="D162" s="246">
        <f>SpectralData!Q20</f>
        <v>0.12864268173999899</v>
      </c>
      <c r="E162" s="246">
        <f>SpectralData!R20</f>
        <v>5.5300684929333301E-2</v>
      </c>
      <c r="F162" s="246">
        <f>SpectralData!S20</f>
        <v>1.96726757686666E-2</v>
      </c>
      <c r="G162" s="246">
        <f>SpectralData!T20</f>
        <v>0.22404646173333301</v>
      </c>
      <c r="H162" s="246">
        <f>SpectralData!U20</f>
        <v>0.274563081106666</v>
      </c>
      <c r="I162" s="246">
        <f>SpectralData!V20</f>
        <v>0.27338624319333299</v>
      </c>
      <c r="J162" s="246">
        <f>SpectralData!W20</f>
        <v>3.8056434155999901E-2</v>
      </c>
      <c r="K162" s="246">
        <f>SpectralData!X20</f>
        <v>0.20926989492</v>
      </c>
      <c r="L162" s="246">
        <f>SpectralData!Y20</f>
        <v>0.13479692776666599</v>
      </c>
      <c r="M162" s="246">
        <f>SpectralData!Z20</f>
        <v>3.8257916926666601E-2</v>
      </c>
    </row>
    <row r="163" spans="1:13">
      <c r="A163" s="232">
        <v>435</v>
      </c>
      <c r="B163" s="246">
        <f>SpectralData!O21</f>
        <v>1.0689020633533299E-2</v>
      </c>
      <c r="C163" s="246">
        <f>SpectralData!P21</f>
        <v>2.9290501117999999E-2</v>
      </c>
      <c r="D163" s="246">
        <f>SpectralData!Q21</f>
        <v>0.122935325633333</v>
      </c>
      <c r="E163" s="246">
        <f>SpectralData!R21</f>
        <v>5.1079946199333301E-2</v>
      </c>
      <c r="F163" s="246">
        <f>SpectralData!S21</f>
        <v>1.74060970946666E-2</v>
      </c>
      <c r="G163" s="246">
        <f>SpectralData!T21</f>
        <v>0.224189178459999</v>
      </c>
      <c r="H163" s="246">
        <f>SpectralData!U21</f>
        <v>0.27455685424666598</v>
      </c>
      <c r="I163" s="246">
        <f>SpectralData!V21</f>
        <v>0.27142764408666598</v>
      </c>
      <c r="J163" s="246">
        <f>SpectralData!W21</f>
        <v>3.4462792873999899E-2</v>
      </c>
      <c r="K163" s="246">
        <f>SpectralData!X21</f>
        <v>0.20721740212</v>
      </c>
      <c r="L163" s="246">
        <f>SpectralData!Y21</f>
        <v>0.12704566573999901</v>
      </c>
      <c r="M163" s="246">
        <f>SpectralData!Z21</f>
        <v>3.4280251185999998E-2</v>
      </c>
    </row>
    <row r="164" spans="1:13">
      <c r="A164" s="232">
        <v>440</v>
      </c>
      <c r="B164" s="246">
        <f>SpectralData!O22</f>
        <v>9.7103025512666596E-3</v>
      </c>
      <c r="C164" s="246">
        <f>SpectralData!P22</f>
        <v>2.7227491378666601E-2</v>
      </c>
      <c r="D164" s="246">
        <f>SpectralData!Q22</f>
        <v>0.121186836866666</v>
      </c>
      <c r="E164" s="246">
        <f>SpectralData!R22</f>
        <v>4.9542796769333299E-2</v>
      </c>
      <c r="F164" s="246">
        <f>SpectralData!S22</f>
        <v>1.6700299660000001E-2</v>
      </c>
      <c r="G164" s="246">
        <f>SpectralData!T22</f>
        <v>0.23013249333333299</v>
      </c>
      <c r="H164" s="246">
        <f>SpectralData!U22</f>
        <v>0.27715562565333302</v>
      </c>
      <c r="I164" s="246">
        <f>SpectralData!V22</f>
        <v>0.274483356479999</v>
      </c>
      <c r="J164" s="246">
        <f>SpectralData!W22</f>
        <v>3.2961364745999901E-2</v>
      </c>
      <c r="K164" s="246">
        <f>SpectralData!X22</f>
        <v>0.20950611624666601</v>
      </c>
      <c r="L164" s="246">
        <f>SpectralData!Y22</f>
        <v>0.12368425306</v>
      </c>
      <c r="M164" s="246">
        <f>SpectralData!Z22</f>
        <v>3.2665735245999999E-2</v>
      </c>
    </row>
    <row r="165" spans="1:13">
      <c r="A165" s="232">
        <v>445</v>
      </c>
      <c r="B165" s="246">
        <f>SpectralData!O23</f>
        <v>9.3834360838666604E-3</v>
      </c>
      <c r="C165" s="246">
        <f>SpectralData!P23</f>
        <v>2.65181589113333E-2</v>
      </c>
      <c r="D165" s="246">
        <f>SpectralData!Q23</f>
        <v>0.12237269083333301</v>
      </c>
      <c r="E165" s="246">
        <f>SpectralData!R23</f>
        <v>4.9934001287333302E-2</v>
      </c>
      <c r="F165" s="246">
        <f>SpectralData!S23</f>
        <v>1.6828126746666599E-2</v>
      </c>
      <c r="G165" s="246">
        <f>SpectralData!T23</f>
        <v>0.23870070901333301</v>
      </c>
      <c r="H165" s="246">
        <f>SpectralData!U23</f>
        <v>0.28201741917333301</v>
      </c>
      <c r="I165" s="246">
        <f>SpectralData!V23</f>
        <v>0.28062811661333298</v>
      </c>
      <c r="J165" s="246">
        <f>SpectralData!W23</f>
        <v>3.2600337504000002E-2</v>
      </c>
      <c r="K165" s="246">
        <f>SpectralData!X23</f>
        <v>0.214496817266666</v>
      </c>
      <c r="L165" s="246">
        <f>SpectralData!Y23</f>
        <v>0.12354043326</v>
      </c>
      <c r="M165" s="246">
        <f>SpectralData!Z23</f>
        <v>3.2609395979999997E-2</v>
      </c>
    </row>
    <row r="166" spans="1:13">
      <c r="A166" s="232">
        <v>450</v>
      </c>
      <c r="B166" s="246">
        <f>SpectralData!O24</f>
        <v>9.5168129202666592E-3</v>
      </c>
      <c r="C166" s="246">
        <f>SpectralData!P24</f>
        <v>2.7119054477333301E-2</v>
      </c>
      <c r="D166" s="246">
        <f>SpectralData!Q24</f>
        <v>0.12554313914666601</v>
      </c>
      <c r="E166" s="246">
        <f>SpectralData!R24</f>
        <v>5.1536750793999997E-2</v>
      </c>
      <c r="F166" s="246">
        <f>SpectralData!S24</f>
        <v>1.7471232334000001E-2</v>
      </c>
      <c r="G166" s="246">
        <f>SpectralData!T24</f>
        <v>0.24687099075333299</v>
      </c>
      <c r="H166" s="246">
        <f>SpectralData!U24</f>
        <v>0.28970404052666598</v>
      </c>
      <c r="I166" s="246">
        <f>SpectralData!V24</f>
        <v>0.28794339624666598</v>
      </c>
      <c r="J166" s="246">
        <f>SpectralData!W24</f>
        <v>3.3583118119999998E-2</v>
      </c>
      <c r="K166" s="246">
        <f>SpectralData!X24</f>
        <v>0.22109346897999901</v>
      </c>
      <c r="L166" s="246">
        <f>SpectralData!Y24</f>
        <v>0.125951461786666</v>
      </c>
      <c r="M166" s="246">
        <f>SpectralData!Z24</f>
        <v>3.3417680898666598E-2</v>
      </c>
    </row>
    <row r="167" spans="1:13">
      <c r="A167" s="232">
        <v>455</v>
      </c>
      <c r="B167" s="246">
        <f>SpectralData!O25</f>
        <v>1.0426346739266601E-2</v>
      </c>
      <c r="C167" s="246">
        <f>SpectralData!P25</f>
        <v>2.95136731466666E-2</v>
      </c>
      <c r="D167" s="246">
        <f>SpectralData!Q25</f>
        <v>0.13103951898666599</v>
      </c>
      <c r="E167" s="246">
        <f>SpectralData!R25</f>
        <v>5.4452852885333303E-2</v>
      </c>
      <c r="F167" s="246">
        <f>SpectralData!S25</f>
        <v>1.8653414249333301E-2</v>
      </c>
      <c r="G167" s="246">
        <f>SpectralData!T25</f>
        <v>0.25349034753999899</v>
      </c>
      <c r="H167" s="246">
        <f>SpectralData!U25</f>
        <v>0.30073542149999899</v>
      </c>
      <c r="I167" s="246">
        <f>SpectralData!V25</f>
        <v>0.29538655217333298</v>
      </c>
      <c r="J167" s="246">
        <f>SpectralData!W25</f>
        <v>3.6080512523999901E-2</v>
      </c>
      <c r="K167" s="246">
        <f>SpectralData!X25</f>
        <v>0.228541140246666</v>
      </c>
      <c r="L167" s="246">
        <f>SpectralData!Y25</f>
        <v>0.13108710543999899</v>
      </c>
      <c r="M167" s="246">
        <f>SpectralData!Z25</f>
        <v>3.5559369563999903E-2</v>
      </c>
    </row>
    <row r="168" spans="1:13">
      <c r="A168" s="232">
        <v>460</v>
      </c>
      <c r="B168" s="246">
        <f>SpectralData!O26</f>
        <v>1.23993399133333E-2</v>
      </c>
      <c r="C168" s="246">
        <f>SpectralData!P26</f>
        <v>3.3884998957999998E-2</v>
      </c>
      <c r="D168" s="246">
        <f>SpectralData!Q26</f>
        <v>0.13872539521333299</v>
      </c>
      <c r="E168" s="246">
        <f>SpectralData!R26</f>
        <v>5.9057417551333299E-2</v>
      </c>
      <c r="F168" s="246">
        <f>SpectralData!S26</f>
        <v>2.0777796665999999E-2</v>
      </c>
      <c r="G168" s="246">
        <f>SpectralData!T26</f>
        <v>0.25783529916666598</v>
      </c>
      <c r="H168" s="246">
        <f>SpectralData!U26</f>
        <v>0.31460434341333299</v>
      </c>
      <c r="I168" s="246">
        <f>SpectralData!V26</f>
        <v>0.30276718650666601</v>
      </c>
      <c r="J168" s="246">
        <f>SpectralData!W26</f>
        <v>4.03493247033333E-2</v>
      </c>
      <c r="K168" s="246">
        <f>SpectralData!X26</f>
        <v>0.237021279653333</v>
      </c>
      <c r="L168" s="246">
        <f>SpectralData!Y26</f>
        <v>0.139050734846666</v>
      </c>
      <c r="M168" s="246">
        <f>SpectralData!Z26</f>
        <v>3.8913209438000002E-2</v>
      </c>
    </row>
    <row r="169" spans="1:13">
      <c r="A169" s="232">
        <v>465</v>
      </c>
      <c r="B169" s="246">
        <f>SpectralData!O27</f>
        <v>1.57625550426666E-2</v>
      </c>
      <c r="C169" s="246">
        <f>SpectralData!P27</f>
        <v>4.1395236810666598E-2</v>
      </c>
      <c r="D169" s="246">
        <f>SpectralData!Q27</f>
        <v>0.149368742619999</v>
      </c>
      <c r="E169" s="246">
        <f>SpectralData!R27</f>
        <v>6.5684806188000003E-2</v>
      </c>
      <c r="F169" s="246">
        <f>SpectralData!S27</f>
        <v>2.37611207973333E-2</v>
      </c>
      <c r="G169" s="246">
        <f>SpectralData!T27</f>
        <v>0.26021631495999897</v>
      </c>
      <c r="H169" s="246">
        <f>SpectralData!U27</f>
        <v>0.33194257355333301</v>
      </c>
      <c r="I169" s="246">
        <f>SpectralData!V27</f>
        <v>0.310289180746666</v>
      </c>
      <c r="J169" s="246">
        <f>SpectralData!W27</f>
        <v>4.6940474509333301E-2</v>
      </c>
      <c r="K169" s="246">
        <f>SpectralData!X27</f>
        <v>0.246718503313333</v>
      </c>
      <c r="L169" s="246">
        <f>SpectralData!Y27</f>
        <v>0.15053912988666601</v>
      </c>
      <c r="M169" s="246">
        <f>SpectralData!Z27</f>
        <v>4.4060617447333299E-2</v>
      </c>
    </row>
    <row r="170" spans="1:13">
      <c r="A170" s="232">
        <v>470</v>
      </c>
      <c r="B170" s="246">
        <f>SpectralData!O28</f>
        <v>2.1308761358666599E-2</v>
      </c>
      <c r="C170" s="246">
        <f>SpectralData!P28</f>
        <v>5.24040416073333E-2</v>
      </c>
      <c r="D170" s="246">
        <f>SpectralData!Q28</f>
        <v>0.162294034959999</v>
      </c>
      <c r="E170" s="246">
        <f>SpectralData!R28</f>
        <v>7.3826879818666605E-2</v>
      </c>
      <c r="F170" s="246">
        <f>SpectralData!S28</f>
        <v>2.7926136493333299E-2</v>
      </c>
      <c r="G170" s="246">
        <f>SpectralData!T28</f>
        <v>0.26055627442666601</v>
      </c>
      <c r="H170" s="246">
        <f>SpectralData!U28</f>
        <v>0.35170597839333301</v>
      </c>
      <c r="I170" s="246">
        <f>SpectralData!V28</f>
        <v>0.31702003096666598</v>
      </c>
      <c r="J170" s="246">
        <f>SpectralData!W28</f>
        <v>5.6026278178666601E-2</v>
      </c>
      <c r="K170" s="246">
        <f>SpectralData!X28</f>
        <v>0.25688940047999897</v>
      </c>
      <c r="L170" s="246">
        <f>SpectralData!Y28</f>
        <v>0.165186190926666</v>
      </c>
      <c r="M170" s="246">
        <f>SpectralData!Z28</f>
        <v>5.0937159221333302E-2</v>
      </c>
    </row>
    <row r="171" spans="1:13">
      <c r="A171" s="232">
        <v>475</v>
      </c>
      <c r="B171" s="246">
        <f>SpectralData!O29</f>
        <v>2.97335322706666E-2</v>
      </c>
      <c r="C171" s="246">
        <f>SpectralData!P29</f>
        <v>6.8406279245999901E-2</v>
      </c>
      <c r="D171" s="246">
        <f>SpectralData!Q29</f>
        <v>0.17683098093333299</v>
      </c>
      <c r="E171" s="246">
        <f>SpectralData!R29</f>
        <v>8.3571705818666603E-2</v>
      </c>
      <c r="F171" s="246">
        <f>SpectralData!S29</f>
        <v>3.29069013599999E-2</v>
      </c>
      <c r="G171" s="246">
        <f>SpectralData!T29</f>
        <v>0.25730916468666598</v>
      </c>
      <c r="H171" s="246">
        <f>SpectralData!U29</f>
        <v>0.37386668903333298</v>
      </c>
      <c r="I171" s="246">
        <f>SpectralData!V29</f>
        <v>0.32222308349333301</v>
      </c>
      <c r="J171" s="246">
        <f>SpectralData!W29</f>
        <v>6.8019718487999897E-2</v>
      </c>
      <c r="K171" s="246">
        <f>SpectralData!X29</f>
        <v>0.26618419902000001</v>
      </c>
      <c r="L171" s="246">
        <f>SpectralData!Y29</f>
        <v>0.18229912312666599</v>
      </c>
      <c r="M171" s="246">
        <f>SpectralData!Z29</f>
        <v>5.9200776099999901E-2</v>
      </c>
    </row>
    <row r="172" spans="1:13">
      <c r="A172" s="232">
        <v>480</v>
      </c>
      <c r="B172" s="246">
        <f>SpectralData!O30</f>
        <v>4.2228094417999899E-2</v>
      </c>
      <c r="C172" s="246">
        <f>SpectralData!P30</f>
        <v>9.0575767521333297E-2</v>
      </c>
      <c r="D172" s="246">
        <f>SpectralData!Q30</f>
        <v>0.19138656743999899</v>
      </c>
      <c r="E172" s="246">
        <f>SpectralData!R30</f>
        <v>9.3925132115333307E-2</v>
      </c>
      <c r="F172" s="246">
        <f>SpectralData!S30</f>
        <v>3.83843831999999E-2</v>
      </c>
      <c r="G172" s="246">
        <f>SpectralData!T30</f>
        <v>0.250334758739999</v>
      </c>
      <c r="H172" s="246">
        <f>SpectralData!U30</f>
        <v>0.39669750977999901</v>
      </c>
      <c r="I172" s="246">
        <f>SpectralData!V30</f>
        <v>0.32450576527333302</v>
      </c>
      <c r="J172" s="246">
        <f>SpectralData!W30</f>
        <v>8.24169991813333E-2</v>
      </c>
      <c r="K172" s="246">
        <f>SpectralData!X30</f>
        <v>0.273708188379999</v>
      </c>
      <c r="L172" s="246">
        <f>SpectralData!Y30</f>
        <v>0.20037655894</v>
      </c>
      <c r="M172" s="246">
        <f>SpectralData!Z30</f>
        <v>6.8451364197999895E-2</v>
      </c>
    </row>
    <row r="173" spans="1:13">
      <c r="A173" s="232">
        <v>485</v>
      </c>
      <c r="B173" s="246">
        <f>SpectralData!O31</f>
        <v>5.89027156839999E-2</v>
      </c>
      <c r="C173" s="246">
        <f>SpectralData!P31</f>
        <v>0.11785291671999901</v>
      </c>
      <c r="D173" s="246">
        <f>SpectralData!Q31</f>
        <v>0.20391809718000001</v>
      </c>
      <c r="E173" s="246">
        <f>SpectralData!R31</f>
        <v>0.10279408771533299</v>
      </c>
      <c r="F173" s="246">
        <f>SpectralData!S31</f>
        <v>4.3307284355333299E-2</v>
      </c>
      <c r="G173" s="246">
        <f>SpectralData!T31</f>
        <v>0.23836538568666599</v>
      </c>
      <c r="H173" s="246">
        <f>SpectralData!U31</f>
        <v>0.41743514504666601</v>
      </c>
      <c r="I173" s="246">
        <f>SpectralData!V31</f>
        <v>0.32198867416666599</v>
      </c>
      <c r="J173" s="246">
        <f>SpectralData!W31</f>
        <v>9.80352872193333E-2</v>
      </c>
      <c r="K173" s="246">
        <f>SpectralData!X31</f>
        <v>0.27684504445333302</v>
      </c>
      <c r="L173" s="246">
        <f>SpectralData!Y31</f>
        <v>0.21715841548000001</v>
      </c>
      <c r="M173" s="246">
        <f>SpectralData!Z31</f>
        <v>7.6992773057333305E-2</v>
      </c>
    </row>
    <row r="174" spans="1:13">
      <c r="A174" s="232">
        <v>490</v>
      </c>
      <c r="B174" s="246">
        <f>SpectralData!O32</f>
        <v>8.0680754024666596E-2</v>
      </c>
      <c r="C174" s="246">
        <f>SpectralData!P32</f>
        <v>0.15084931373333299</v>
      </c>
      <c r="D174" s="246">
        <f>SpectralData!Q32</f>
        <v>0.21250767262</v>
      </c>
      <c r="E174" s="246">
        <f>SpectralData!R32</f>
        <v>0.109444132493333</v>
      </c>
      <c r="F174" s="246">
        <f>SpectralData!S32</f>
        <v>4.7114933648666597E-2</v>
      </c>
      <c r="G174" s="246">
        <f>SpectralData!T32</f>
        <v>0.221902917226666</v>
      </c>
      <c r="H174" s="246">
        <f>SpectralData!U32</f>
        <v>0.43471636962666599</v>
      </c>
      <c r="I174" s="246">
        <f>SpectralData!V32</f>
        <v>0.31424944940666599</v>
      </c>
      <c r="J174" s="246">
        <f>SpectralData!W32</f>
        <v>0.11360141880666599</v>
      </c>
      <c r="K174" s="246">
        <f>SpectralData!X32</f>
        <v>0.27485388565333302</v>
      </c>
      <c r="L174" s="246">
        <f>SpectralData!Y32</f>
        <v>0.230806749979999</v>
      </c>
      <c r="M174" s="246">
        <f>SpectralData!Z32</f>
        <v>8.4031542459333294E-2</v>
      </c>
    </row>
    <row r="175" spans="1:13">
      <c r="A175" s="232">
        <v>495</v>
      </c>
      <c r="B175" s="246">
        <f>SpectralData!O33</f>
        <v>0.105454808544666</v>
      </c>
      <c r="C175" s="246">
        <f>SpectralData!P33</f>
        <v>0.18723831939999899</v>
      </c>
      <c r="D175" s="246">
        <f>SpectralData!Q33</f>
        <v>0.21649902471333299</v>
      </c>
      <c r="E175" s="246">
        <f>SpectralData!R33</f>
        <v>0.11243373935333301</v>
      </c>
      <c r="F175" s="246">
        <f>SpectralData!S33</f>
        <v>4.8743480681333301E-2</v>
      </c>
      <c r="G175" s="246">
        <f>SpectralData!T33</f>
        <v>0.20217105865333301</v>
      </c>
      <c r="H175" s="246">
        <f>SpectralData!U33</f>
        <v>0.44745202890666602</v>
      </c>
      <c r="I175" s="246">
        <f>SpectralData!V33</f>
        <v>0.30150306829333301</v>
      </c>
      <c r="J175" s="246">
        <f>SpectralData!W33</f>
        <v>0.126734711326666</v>
      </c>
      <c r="K175" s="246">
        <f>SpectralData!X33</f>
        <v>0.267827122999999</v>
      </c>
      <c r="L175" s="246">
        <f>SpectralData!Y33</f>
        <v>0.24008930714000001</v>
      </c>
      <c r="M175" s="246">
        <f>SpectralData!Z33</f>
        <v>8.8268145243333304E-2</v>
      </c>
    </row>
    <row r="176" spans="1:13">
      <c r="A176" s="232">
        <v>500</v>
      </c>
      <c r="B176" s="246">
        <f>SpectralData!O34</f>
        <v>0.1322788849</v>
      </c>
      <c r="C176" s="246">
        <f>SpectralData!P34</f>
        <v>0.22443505731333299</v>
      </c>
      <c r="D176" s="246">
        <f>SpectralData!Q34</f>
        <v>0.21531786218666599</v>
      </c>
      <c r="E176" s="246">
        <f>SpectralData!R34</f>
        <v>0.111596449526666</v>
      </c>
      <c r="F176" s="246">
        <f>SpectralData!S34</f>
        <v>4.8168949127333299E-2</v>
      </c>
      <c r="G176" s="246">
        <f>SpectralData!T34</f>
        <v>0.18053420511333301</v>
      </c>
      <c r="H176" s="246">
        <f>SpectralData!U34</f>
        <v>0.45521951039333303</v>
      </c>
      <c r="I176" s="246">
        <f>SpectralData!V34</f>
        <v>0.284909862526666</v>
      </c>
      <c r="J176" s="246">
        <f>SpectralData!W34</f>
        <v>0.13651508840666601</v>
      </c>
      <c r="K176" s="246">
        <f>SpectralData!X34</f>
        <v>0.25603001149333299</v>
      </c>
      <c r="L176" s="246">
        <f>SpectralData!Y34</f>
        <v>0.244198727939999</v>
      </c>
      <c r="M176" s="246">
        <f>SpectralData!Z34</f>
        <v>8.9024700165333301E-2</v>
      </c>
    </row>
    <row r="177" spans="1:14">
      <c r="A177" s="232">
        <v>505</v>
      </c>
      <c r="B177" s="246">
        <f>SpectralData!O35</f>
        <v>0.15871898842666601</v>
      </c>
      <c r="C177" s="246">
        <f>SpectralData!P35</f>
        <v>0.26041851170666602</v>
      </c>
      <c r="D177" s="246">
        <f>SpectralData!Q35</f>
        <v>0.20991848500666599</v>
      </c>
      <c r="E177" s="246">
        <f>SpectralData!R35</f>
        <v>0.107607651373333</v>
      </c>
      <c r="F177" s="246">
        <f>SpectralData!S35</f>
        <v>4.5759039241999901E-2</v>
      </c>
      <c r="G177" s="246">
        <f>SpectralData!T35</f>
        <v>0.158788933433333</v>
      </c>
      <c r="H177" s="246">
        <f>SpectralData!U35</f>
        <v>0.45844487762000002</v>
      </c>
      <c r="I177" s="246">
        <f>SpectralData!V35</f>
        <v>0.26609663772666597</v>
      </c>
      <c r="J177" s="246">
        <f>SpectralData!W35</f>
        <v>0.14216670099333301</v>
      </c>
      <c r="K177" s="246">
        <f>SpectralData!X35</f>
        <v>0.241218273166666</v>
      </c>
      <c r="L177" s="246">
        <f>SpectralData!Y35</f>
        <v>0.24346896998000001</v>
      </c>
      <c r="M177" s="246">
        <f>SpectralData!Z35</f>
        <v>8.7321271261333294E-2</v>
      </c>
    </row>
    <row r="178" spans="1:14">
      <c r="A178" s="232">
        <v>510</v>
      </c>
      <c r="B178" s="246">
        <f>SpectralData!O36</f>
        <v>0.18244760004666599</v>
      </c>
      <c r="C178" s="246">
        <f>SpectralData!P36</f>
        <v>0.2923731041</v>
      </c>
      <c r="D178" s="246">
        <f>SpectralData!Q36</f>
        <v>0.20028389739999999</v>
      </c>
      <c r="E178" s="246">
        <f>SpectralData!R36</f>
        <v>0.100518483478666</v>
      </c>
      <c r="F178" s="246">
        <f>SpectralData!S36</f>
        <v>4.1744316418666598E-2</v>
      </c>
      <c r="G178" s="246">
        <f>SpectralData!T36</f>
        <v>0.13748540113999899</v>
      </c>
      <c r="H178" s="246">
        <f>SpectralData!U36</f>
        <v>0.456135663353333</v>
      </c>
      <c r="I178" s="246">
        <f>SpectralData!V36</f>
        <v>0.24530529784666599</v>
      </c>
      <c r="J178" s="246">
        <f>SpectralData!W36</f>
        <v>0.14315327580666601</v>
      </c>
      <c r="K178" s="246">
        <f>SpectralData!X36</f>
        <v>0.223258324953333</v>
      </c>
      <c r="L178" s="246">
        <f>SpectralData!Y36</f>
        <v>0.23830619813333301</v>
      </c>
      <c r="M178" s="246">
        <f>SpectralData!Z36</f>
        <v>8.2380740482000003E-2</v>
      </c>
    </row>
    <row r="179" spans="1:14">
      <c r="A179" s="232">
        <v>515</v>
      </c>
      <c r="B179" s="246">
        <f>SpectralData!O37</f>
        <v>0.20219939675999901</v>
      </c>
      <c r="C179" s="246">
        <f>SpectralData!P37</f>
        <v>0.31867967476666598</v>
      </c>
      <c r="D179" s="246">
        <f>SpectralData!Q37</f>
        <v>0.188598196673333</v>
      </c>
      <c r="E179" s="246">
        <f>SpectralData!R37</f>
        <v>9.2271722793999894E-2</v>
      </c>
      <c r="F179" s="246">
        <f>SpectralData!S37</f>
        <v>3.7433427810666602E-2</v>
      </c>
      <c r="G179" s="246">
        <f>SpectralData!T37</f>
        <v>0.118257853186666</v>
      </c>
      <c r="H179" s="246">
        <f>SpectralData!U37</f>
        <v>0.44907267252666599</v>
      </c>
      <c r="I179" s="246">
        <f>SpectralData!V37</f>
        <v>0.22480702591333299</v>
      </c>
      <c r="J179" s="246">
        <f>SpectralData!W37</f>
        <v>0.14045550728</v>
      </c>
      <c r="K179" s="246">
        <f>SpectralData!X37</f>
        <v>0.20506944782</v>
      </c>
      <c r="L179" s="246">
        <f>SpectralData!Y37</f>
        <v>0.230307783759999</v>
      </c>
      <c r="M179" s="246">
        <f>SpectralData!Z37</f>
        <v>7.6454506556000001E-2</v>
      </c>
    </row>
    <row r="180" spans="1:14">
      <c r="A180" s="232">
        <v>520</v>
      </c>
      <c r="B180" s="246">
        <f>SpectralData!O38</f>
        <v>0.216410729726666</v>
      </c>
      <c r="C180" s="246">
        <f>SpectralData!P38</f>
        <v>0.33690211487333299</v>
      </c>
      <c r="D180" s="246">
        <f>SpectralData!Q38</f>
        <v>0.175265378313333</v>
      </c>
      <c r="E180" s="246">
        <f>SpectralData!R38</f>
        <v>8.3134906134666606E-2</v>
      </c>
      <c r="F180" s="246">
        <f>SpectralData!S38</f>
        <v>3.2448287167999898E-2</v>
      </c>
      <c r="G180" s="246">
        <f>SpectralData!T38</f>
        <v>0.101558822633333</v>
      </c>
      <c r="H180" s="246">
        <f>SpectralData!U38</f>
        <v>0.43649750265333298</v>
      </c>
      <c r="I180" s="246">
        <f>SpectralData!V38</f>
        <v>0.20479571152000001</v>
      </c>
      <c r="J180" s="246">
        <f>SpectralData!W38</f>
        <v>0.13451910145999901</v>
      </c>
      <c r="K180" s="246">
        <f>SpectralData!X38</f>
        <v>0.186179505673333</v>
      </c>
      <c r="L180" s="246">
        <f>SpectralData!Y38</f>
        <v>0.21977144114</v>
      </c>
      <c r="M180" s="246">
        <f>SpectralData!Z38</f>
        <v>6.9680089949333293E-2</v>
      </c>
    </row>
    <row r="181" spans="1:14">
      <c r="A181" s="232">
        <v>525</v>
      </c>
      <c r="B181" s="246">
        <f>SpectralData!O39</f>
        <v>0.225135768886666</v>
      </c>
      <c r="C181" s="246">
        <f>SpectralData!P39</f>
        <v>0.34707032521333298</v>
      </c>
      <c r="D181" s="246">
        <f>SpectralData!Q39</f>
        <v>0.16208915263999901</v>
      </c>
      <c r="E181" s="246">
        <f>SpectralData!R39</f>
        <v>7.4706348417333299E-2</v>
      </c>
      <c r="F181" s="246">
        <f>SpectralData!S39</f>
        <v>2.8121734619333299E-2</v>
      </c>
      <c r="G181" s="246">
        <f>SpectralData!T39</f>
        <v>8.7159958520666603E-2</v>
      </c>
      <c r="H181" s="246">
        <f>SpectralData!U39</f>
        <v>0.41984910329333303</v>
      </c>
      <c r="I181" s="246">
        <f>SpectralData!V39</f>
        <v>0.186493235273333</v>
      </c>
      <c r="J181" s="246">
        <f>SpectralData!W39</f>
        <v>0.12695693206</v>
      </c>
      <c r="K181" s="246">
        <f>SpectralData!X39</f>
        <v>0.16847820281333301</v>
      </c>
      <c r="L181" s="246">
        <f>SpectralData!Y39</f>
        <v>0.20881141536</v>
      </c>
      <c r="M181" s="246">
        <f>SpectralData!Z39</f>
        <v>6.3244986851333299E-2</v>
      </c>
    </row>
    <row r="182" spans="1:14">
      <c r="A182" s="232">
        <v>530</v>
      </c>
      <c r="B182" s="246">
        <f>SpectralData!O40</f>
        <v>0.23032356644666599</v>
      </c>
      <c r="C182" s="246">
        <f>SpectralData!P40</f>
        <v>0.35130115507999898</v>
      </c>
      <c r="D182" s="246">
        <f>SpectralData!Q40</f>
        <v>0.15011946996</v>
      </c>
      <c r="E182" s="246">
        <f>SpectralData!R40</f>
        <v>6.7367912609999997E-2</v>
      </c>
      <c r="F182" s="246">
        <f>SpectralData!S40</f>
        <v>2.4611705144000001E-2</v>
      </c>
      <c r="G182" s="246">
        <f>SpectralData!T40</f>
        <v>7.5856326739333305E-2</v>
      </c>
      <c r="H182" s="246">
        <f>SpectralData!U40</f>
        <v>0.40018187458666599</v>
      </c>
      <c r="I182" s="246">
        <f>SpectralData!V40</f>
        <v>0.17102702712666601</v>
      </c>
      <c r="J182" s="246">
        <f>SpectralData!W40</f>
        <v>0.119032495499999</v>
      </c>
      <c r="K182" s="246">
        <f>SpectralData!X40</f>
        <v>0.15294024911999901</v>
      </c>
      <c r="L182" s="246">
        <f>SpectralData!Y40</f>
        <v>0.19859777578666599</v>
      </c>
      <c r="M182" s="246">
        <f>SpectralData!Z40</f>
        <v>5.7749788920666602E-2</v>
      </c>
    </row>
    <row r="183" spans="1:14">
      <c r="A183" s="232">
        <v>535</v>
      </c>
      <c r="B183" s="246">
        <f>SpectralData!O41</f>
        <v>0.23382794697999901</v>
      </c>
      <c r="C183" s="246">
        <f>SpectralData!P41</f>
        <v>0.35118552397333302</v>
      </c>
      <c r="D183" s="246">
        <f>SpectralData!Q41</f>
        <v>0.14028852017333299</v>
      </c>
      <c r="E183" s="246">
        <f>SpectralData!R41</f>
        <v>6.1514250438666603E-2</v>
      </c>
      <c r="F183" s="246">
        <f>SpectralData!S41</f>
        <v>2.1986932913999901E-2</v>
      </c>
      <c r="G183" s="246">
        <f>SpectralData!T41</f>
        <v>6.7170893033333304E-2</v>
      </c>
      <c r="H183" s="246">
        <f>SpectralData!U41</f>
        <v>0.37941230011999899</v>
      </c>
      <c r="I183" s="246">
        <f>SpectralData!V41</f>
        <v>0.15858146031999901</v>
      </c>
      <c r="J183" s="246">
        <f>SpectralData!W41</f>
        <v>0.111892943053333</v>
      </c>
      <c r="K183" s="246">
        <f>SpectralData!X41</f>
        <v>0.13997035216666601</v>
      </c>
      <c r="L183" s="246">
        <f>SpectralData!Y41</f>
        <v>0.19077653757333299</v>
      </c>
      <c r="M183" s="246">
        <f>SpectralData!Z41</f>
        <v>5.3654363634666601E-2</v>
      </c>
    </row>
    <row r="184" spans="1:14"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</row>
    <row r="185" spans="1:14"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</row>
    <row r="186" spans="1:14"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</row>
    <row r="187" spans="1:14"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</row>
    <row r="188" spans="1:14"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</row>
    <row r="189" spans="1:14"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</row>
    <row r="190" spans="1:14"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</row>
    <row r="191" spans="1:14"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</row>
    <row r="192" spans="1:14"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</row>
    <row r="193" spans="1:14"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</row>
    <row r="194" spans="1:14"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</row>
    <row r="195" spans="1:14" ht="11.4" customHeight="1"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</row>
    <row r="196" spans="1:14" ht="11.4" customHeight="1"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</row>
    <row r="197" spans="1:14" ht="11.4" customHeight="1"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</row>
    <row r="198" spans="1:14"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</row>
    <row r="199" spans="1:14" ht="16.5" customHeight="1"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</row>
    <row r="200" spans="1:14"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</row>
    <row r="201" spans="1:14" ht="12.75" customHeight="1">
      <c r="A201" s="273"/>
      <c r="B201" s="274"/>
      <c r="C201" s="274"/>
      <c r="D201" s="274"/>
      <c r="E201" s="274"/>
      <c r="F201" s="274"/>
      <c r="G201" s="274"/>
      <c r="H201" s="274"/>
      <c r="I201" s="274"/>
      <c r="J201" s="274"/>
      <c r="K201" s="274"/>
      <c r="L201" s="274"/>
      <c r="M201" s="274"/>
      <c r="N201" s="274"/>
    </row>
    <row r="202" spans="1:14">
      <c r="C202" s="254" t="str">
        <f>$C$67</f>
        <v>IAM-9C Cal Data Report rev 2-01.xls</v>
      </c>
      <c r="D202" s="254"/>
      <c r="E202" s="254"/>
      <c r="F202" s="254"/>
      <c r="G202" s="254"/>
      <c r="H202" s="254" t="str">
        <f>$H$67</f>
        <v>Copyright 2019, Applied Image, Inc.</v>
      </c>
      <c r="I202" s="254"/>
      <c r="J202" s="254"/>
      <c r="K202" s="254"/>
      <c r="L202" s="224" t="s">
        <v>188</v>
      </c>
    </row>
    <row r="203" spans="1:14">
      <c r="L203" s="224"/>
    </row>
    <row r="204" spans="1:14">
      <c r="B204" s="249" t="str">
        <f>$D$8</f>
        <v>Part Number:</v>
      </c>
      <c r="C204" s="191" t="str">
        <f>$E$8</f>
        <v xml:space="preserve"> IAM-9C</v>
      </c>
      <c r="E204" s="249" t="str">
        <f>$D$9</f>
        <v>Serial Number:</v>
      </c>
      <c r="F204" s="286" t="str">
        <f>$E$9</f>
        <v>IAM-9C-00446</v>
      </c>
      <c r="G204" s="286"/>
      <c r="I204" s="249" t="str">
        <f>$D$10</f>
        <v>Calibration Date:</v>
      </c>
      <c r="J204" s="191" t="str">
        <f>SpectralData!C110</f>
        <v>Dec-16-2021</v>
      </c>
      <c r="L204" s="249" t="str">
        <f>$J$8</f>
        <v>Job Number:</v>
      </c>
      <c r="M204" s="250" t="str">
        <f>$K$8</f>
        <v>27884-01</v>
      </c>
    </row>
    <row r="205" spans="1:14">
      <c r="B205" s="249"/>
      <c r="E205" s="249"/>
      <c r="I205" s="249"/>
      <c r="L205" s="249"/>
      <c r="M205" s="250"/>
    </row>
    <row r="206" spans="1:14" ht="15" thickBot="1">
      <c r="B206" s="249"/>
      <c r="E206" s="249"/>
      <c r="I206" s="249"/>
      <c r="L206" s="249"/>
      <c r="M206" s="250"/>
    </row>
    <row r="207" spans="1:14" ht="15" thickBot="1">
      <c r="A207" s="251" t="s">
        <v>26</v>
      </c>
      <c r="B207" s="252" t="s">
        <v>137</v>
      </c>
      <c r="C207" s="252" t="s">
        <v>138</v>
      </c>
      <c r="D207" s="252" t="s">
        <v>139</v>
      </c>
      <c r="E207" s="252" t="s">
        <v>140</v>
      </c>
      <c r="F207" s="252" t="s">
        <v>141</v>
      </c>
      <c r="G207" s="252" t="s">
        <v>142</v>
      </c>
      <c r="H207" s="252" t="s">
        <v>143</v>
      </c>
      <c r="I207" s="252" t="s">
        <v>144</v>
      </c>
      <c r="J207" s="252" t="s">
        <v>145</v>
      </c>
      <c r="K207" s="252" t="s">
        <v>146</v>
      </c>
      <c r="L207" s="252" t="s">
        <v>147</v>
      </c>
      <c r="M207" s="253" t="s">
        <v>148</v>
      </c>
    </row>
    <row r="208" spans="1:14">
      <c r="A208" s="232">
        <v>540</v>
      </c>
      <c r="B208" s="246">
        <f>SpectralData!O42</f>
        <v>0.238024436953333</v>
      </c>
      <c r="C208" s="246">
        <f>SpectralData!P42</f>
        <v>0.34998647308666597</v>
      </c>
      <c r="D208" s="246">
        <f>SpectralData!Q42</f>
        <v>0.13309972192</v>
      </c>
      <c r="E208" s="246">
        <f>SpectralData!R42</f>
        <v>5.7304745037999899E-2</v>
      </c>
      <c r="F208" s="246">
        <f>SpectralData!S42</f>
        <v>2.0114798545999998E-2</v>
      </c>
      <c r="G208" s="246">
        <f>SpectralData!T42</f>
        <v>6.0716326395333302E-2</v>
      </c>
      <c r="H208" s="246">
        <f>SpectralData!U42</f>
        <v>0.359503481546666</v>
      </c>
      <c r="I208" s="246">
        <f>SpectralData!V42</f>
        <v>0.14983108140000001</v>
      </c>
      <c r="J208" s="246">
        <f>SpectralData!W42</f>
        <v>0.10623398274</v>
      </c>
      <c r="K208" s="246">
        <f>SpectralData!X42</f>
        <v>0.129954922993333</v>
      </c>
      <c r="L208" s="246">
        <f>SpectralData!Y42</f>
        <v>0.186118213646666</v>
      </c>
      <c r="M208" s="246">
        <f>SpectralData!Z42</f>
        <v>5.0946861267333297E-2</v>
      </c>
    </row>
    <row r="209" spans="1:13">
      <c r="A209" s="232">
        <v>545</v>
      </c>
      <c r="B209" s="246">
        <f>SpectralData!O43</f>
        <v>0.24493850708000001</v>
      </c>
      <c r="C209" s="246">
        <f>SpectralData!P43</f>
        <v>0.349662117006666</v>
      </c>
      <c r="D209" s="246">
        <f>SpectralData!Q43</f>
        <v>0.12895576604</v>
      </c>
      <c r="E209" s="246">
        <f>SpectralData!R43</f>
        <v>5.4800531387333297E-2</v>
      </c>
      <c r="F209" s="246">
        <f>SpectralData!S43</f>
        <v>1.8907218694666598E-2</v>
      </c>
      <c r="G209" s="246">
        <f>SpectralData!T43</f>
        <v>5.6469237645333299E-2</v>
      </c>
      <c r="H209" s="246">
        <f>SpectralData!U43</f>
        <v>0.341875422159999</v>
      </c>
      <c r="I209" s="246">
        <f>SpectralData!V43</f>
        <v>0.14452766672</v>
      </c>
      <c r="J209" s="246">
        <f>SpectralData!W43</f>
        <v>0.10269367726666601</v>
      </c>
      <c r="K209" s="246">
        <f>SpectralData!X43</f>
        <v>0.1228281606</v>
      </c>
      <c r="L209" s="246">
        <f>SpectralData!Y43</f>
        <v>0.185594959259999</v>
      </c>
      <c r="M209" s="246">
        <f>SpectralData!Z43</f>
        <v>4.9946778296E-2</v>
      </c>
    </row>
    <row r="210" spans="1:13">
      <c r="A210" s="232">
        <v>550</v>
      </c>
      <c r="B210" s="246">
        <f>SpectralData!O44</f>
        <v>0.25483777236666599</v>
      </c>
      <c r="C210" s="246">
        <f>SpectralData!P44</f>
        <v>0.350501757306666</v>
      </c>
      <c r="D210" s="246">
        <f>SpectralData!Q44</f>
        <v>0.127182608299999</v>
      </c>
      <c r="E210" s="246">
        <f>SpectralData!R44</f>
        <v>5.3604357401333298E-2</v>
      </c>
      <c r="F210" s="246">
        <f>SpectralData!S44</f>
        <v>1.83035130506666E-2</v>
      </c>
      <c r="G210" s="246">
        <f>SpectralData!T44</f>
        <v>5.3785232545333302E-2</v>
      </c>
      <c r="H210" s="246">
        <f>SpectralData!U44</f>
        <v>0.325450140633333</v>
      </c>
      <c r="I210" s="246">
        <f>SpectralData!V44</f>
        <v>0.142297681173333</v>
      </c>
      <c r="J210" s="246">
        <f>SpectralData!W44</f>
        <v>0.10072171974333299</v>
      </c>
      <c r="K210" s="246">
        <f>SpectralData!X44</f>
        <v>0.118003110873333</v>
      </c>
      <c r="L210" s="246">
        <f>SpectralData!Y44</f>
        <v>0.188630583453333</v>
      </c>
      <c r="M210" s="246">
        <f>SpectralData!Z44</f>
        <v>5.0316861152E-2</v>
      </c>
    </row>
    <row r="211" spans="1:13">
      <c r="A211" s="232">
        <v>555</v>
      </c>
      <c r="B211" s="246">
        <f>SpectralData!O45</f>
        <v>0.26813350677333297</v>
      </c>
      <c r="C211" s="246">
        <f>SpectralData!P45</f>
        <v>0.35189968618</v>
      </c>
      <c r="D211" s="246">
        <f>SpectralData!Q45</f>
        <v>0.127667767833333</v>
      </c>
      <c r="E211" s="246">
        <f>SpectralData!R45</f>
        <v>5.3532719296000002E-2</v>
      </c>
      <c r="F211" s="246">
        <f>SpectralData!S45</f>
        <v>1.7909833510666599E-2</v>
      </c>
      <c r="G211" s="246">
        <f>SpectralData!T45</f>
        <v>5.2130469957333302E-2</v>
      </c>
      <c r="H211" s="246">
        <f>SpectralData!U45</f>
        <v>0.30936247379999998</v>
      </c>
      <c r="I211" s="246">
        <f>SpectralData!V45</f>
        <v>0.1425461432</v>
      </c>
      <c r="J211" s="246">
        <f>SpectralData!W45</f>
        <v>0.10024377950133299</v>
      </c>
      <c r="K211" s="246">
        <f>SpectralData!X45</f>
        <v>0.114862265273333</v>
      </c>
      <c r="L211" s="246">
        <f>SpectralData!Y45</f>
        <v>0.19569215265999901</v>
      </c>
      <c r="M211" s="246">
        <f>SpectralData!Z45</f>
        <v>5.2011142094666597E-2</v>
      </c>
    </row>
    <row r="212" spans="1:13">
      <c r="A212" s="232">
        <v>560</v>
      </c>
      <c r="B212" s="246">
        <f>SpectralData!O46</f>
        <v>0.28434541065333302</v>
      </c>
      <c r="C212" s="246">
        <f>SpectralData!P46</f>
        <v>0.35321599324666603</v>
      </c>
      <c r="D212" s="246">
        <f>SpectralData!Q46</f>
        <v>0.13013239733333301</v>
      </c>
      <c r="E212" s="246">
        <f>SpectralData!R46</f>
        <v>5.4606865884666601E-2</v>
      </c>
      <c r="F212" s="246">
        <f>SpectralData!S46</f>
        <v>1.86949072686666E-2</v>
      </c>
      <c r="G212" s="246">
        <f>SpectralData!T46</f>
        <v>5.1751212436666597E-2</v>
      </c>
      <c r="H212" s="246">
        <f>SpectralData!U46</f>
        <v>0.29294248581333299</v>
      </c>
      <c r="I212" s="246">
        <f>SpectralData!V46</f>
        <v>0.144858437859999</v>
      </c>
      <c r="J212" s="246">
        <f>SpectralData!W46</f>
        <v>0.100985242843999</v>
      </c>
      <c r="K212" s="246">
        <f>SpectralData!X46</f>
        <v>0.11319812964666599</v>
      </c>
      <c r="L212" s="246">
        <f>SpectralData!Y46</f>
        <v>0.20622086079999899</v>
      </c>
      <c r="M212" s="246">
        <f>SpectralData!Z46</f>
        <v>5.52078660326666E-2</v>
      </c>
    </row>
    <row r="213" spans="1:13">
      <c r="A213" s="232">
        <v>565</v>
      </c>
      <c r="B213" s="246">
        <f>SpectralData!O47</f>
        <v>0.30384423192666599</v>
      </c>
      <c r="C213" s="246">
        <f>SpectralData!P47</f>
        <v>0.353645042426666</v>
      </c>
      <c r="D213" s="246">
        <f>SpectralData!Q47</f>
        <v>0.1331300195</v>
      </c>
      <c r="E213" s="246">
        <f>SpectralData!R47</f>
        <v>5.6259368896E-2</v>
      </c>
      <c r="F213" s="246">
        <f>SpectralData!S47</f>
        <v>1.9010362704E-2</v>
      </c>
      <c r="G213" s="246">
        <f>SpectralData!T47</f>
        <v>5.1311066310666599E-2</v>
      </c>
      <c r="H213" s="246">
        <f>SpectralData!U47</f>
        <v>0.27491769282</v>
      </c>
      <c r="I213" s="246">
        <f>SpectralData!V47</f>
        <v>0.148299740486666</v>
      </c>
      <c r="J213" s="246">
        <f>SpectralData!W47</f>
        <v>0.10194844055333301</v>
      </c>
      <c r="K213" s="246">
        <f>SpectralData!X47</f>
        <v>0.11157776196666599</v>
      </c>
      <c r="L213" s="246">
        <f>SpectralData!Y47</f>
        <v>0.219460391986666</v>
      </c>
      <c r="M213" s="246">
        <f>SpectralData!Z47</f>
        <v>5.9623512268000001E-2</v>
      </c>
    </row>
    <row r="214" spans="1:13">
      <c r="A214" s="232">
        <v>570</v>
      </c>
      <c r="B214" s="246">
        <f>SpectralData!O48</f>
        <v>0.32593322118666601</v>
      </c>
      <c r="C214" s="246">
        <f>SpectralData!P48</f>
        <v>0.35266479492666603</v>
      </c>
      <c r="D214" s="246">
        <f>SpectralData!Q48</f>
        <v>0.13734308051999899</v>
      </c>
      <c r="E214" s="246">
        <f>SpectralData!R48</f>
        <v>5.8546505610666599E-2</v>
      </c>
      <c r="F214" s="246">
        <f>SpectralData!S48</f>
        <v>2.0215969005999899E-2</v>
      </c>
      <c r="G214" s="246">
        <f>SpectralData!T48</f>
        <v>5.1559628486666599E-2</v>
      </c>
      <c r="H214" s="246">
        <f>SpectralData!U48</f>
        <v>0.25582010142</v>
      </c>
      <c r="I214" s="246">
        <f>SpectralData!V48</f>
        <v>0.152437342966666</v>
      </c>
      <c r="J214" s="246">
        <f>SpectralData!W48</f>
        <v>0.103241899486666</v>
      </c>
      <c r="K214" s="246">
        <f>SpectralData!X48</f>
        <v>0.110400201799999</v>
      </c>
      <c r="L214" s="246">
        <f>SpectralData!Y48</f>
        <v>0.23536704891333299</v>
      </c>
      <c r="M214" s="246">
        <f>SpectralData!Z48</f>
        <v>6.5275243123333299E-2</v>
      </c>
    </row>
    <row r="215" spans="1:13">
      <c r="A215" s="232">
        <v>575</v>
      </c>
      <c r="B215" s="246">
        <f>SpectralData!O49</f>
        <v>0.35099996947999901</v>
      </c>
      <c r="C215" s="246">
        <f>SpectralData!P49</f>
        <v>0.35095987701999998</v>
      </c>
      <c r="D215" s="246">
        <f>SpectralData!Q49</f>
        <v>0.141923036579999</v>
      </c>
      <c r="E215" s="246">
        <f>SpectralData!R49</f>
        <v>6.0926857311999899E-2</v>
      </c>
      <c r="F215" s="246">
        <f>SpectralData!S49</f>
        <v>2.10934125573333E-2</v>
      </c>
      <c r="G215" s="246">
        <f>SpectralData!T49</f>
        <v>5.1974415779333302E-2</v>
      </c>
      <c r="H215" s="246">
        <f>SpectralData!U49</f>
        <v>0.23634591294000001</v>
      </c>
      <c r="I215" s="246">
        <f>SpectralData!V49</f>
        <v>0.15765922863999901</v>
      </c>
      <c r="J215" s="246">
        <f>SpectralData!W49</f>
        <v>0.10468803913999999</v>
      </c>
      <c r="K215" s="246">
        <f>SpectralData!X49</f>
        <v>0.108912876759999</v>
      </c>
      <c r="L215" s="246">
        <f>SpectralData!Y49</f>
        <v>0.25434670511999902</v>
      </c>
      <c r="M215" s="246">
        <f>SpectralData!Z49</f>
        <v>7.1929566384666604E-2</v>
      </c>
    </row>
    <row r="216" spans="1:13">
      <c r="A216" s="232">
        <v>580</v>
      </c>
      <c r="B216" s="246">
        <f>SpectralData!O50</f>
        <v>0.378988744079999</v>
      </c>
      <c r="C216" s="246">
        <f>SpectralData!P50</f>
        <v>0.34785424803999998</v>
      </c>
      <c r="D216" s="246">
        <f>SpectralData!Q50</f>
        <v>0.14662410545333299</v>
      </c>
      <c r="E216" s="246">
        <f>SpectralData!R50</f>
        <v>6.3349772454666595E-2</v>
      </c>
      <c r="F216" s="246">
        <f>SpectralData!S50</f>
        <v>2.2042046229333302E-2</v>
      </c>
      <c r="G216" s="246">
        <f>SpectralData!T50</f>
        <v>5.17350470233333E-2</v>
      </c>
      <c r="H216" s="246">
        <f>SpectralData!U50</f>
        <v>0.21641223780666599</v>
      </c>
      <c r="I216" s="246">
        <f>SpectralData!V50</f>
        <v>0.162867013926666</v>
      </c>
      <c r="J216" s="246">
        <f>SpectralData!W50</f>
        <v>0.10572669411333301</v>
      </c>
      <c r="K216" s="246">
        <f>SpectralData!X50</f>
        <v>0.107010831826666</v>
      </c>
      <c r="L216" s="246">
        <f>SpectralData!Y50</f>
        <v>0.27640141168666599</v>
      </c>
      <c r="M216" s="246">
        <f>SpectralData!Z50</f>
        <v>7.9752566337333297E-2</v>
      </c>
    </row>
    <row r="217" spans="1:13">
      <c r="A217" s="232">
        <v>585</v>
      </c>
      <c r="B217" s="246">
        <f>SpectralData!O51</f>
        <v>0.41195001474666598</v>
      </c>
      <c r="C217" s="246">
        <f>SpectralData!P51</f>
        <v>0.34488202668666601</v>
      </c>
      <c r="D217" s="246">
        <f>SpectralData!Q51</f>
        <v>0.15147806486000001</v>
      </c>
      <c r="E217" s="246">
        <f>SpectralData!R51</f>
        <v>6.6041972160000004E-2</v>
      </c>
      <c r="F217" s="246">
        <f>SpectralData!S51</f>
        <v>2.3691617964666602E-2</v>
      </c>
      <c r="G217" s="246">
        <f>SpectralData!T51</f>
        <v>5.1822734197333298E-2</v>
      </c>
      <c r="H217" s="246">
        <f>SpectralData!U51</f>
        <v>0.19737793351333299</v>
      </c>
      <c r="I217" s="246">
        <f>SpectralData!V51</f>
        <v>0.16862423705333299</v>
      </c>
      <c r="J217" s="246">
        <f>SpectralData!W51</f>
        <v>0.10700964674666601</v>
      </c>
      <c r="K217" s="246">
        <f>SpectralData!X51</f>
        <v>0.105187782293333</v>
      </c>
      <c r="L217" s="246">
        <f>SpectralData!Y51</f>
        <v>0.301856324513333</v>
      </c>
      <c r="M217" s="246">
        <f>SpectralData!Z51</f>
        <v>8.9072985331333301E-2</v>
      </c>
    </row>
    <row r="218" spans="1:13">
      <c r="A218" s="232">
        <v>590</v>
      </c>
      <c r="B218" s="246">
        <f>SpectralData!O52</f>
        <v>0.447395431526666</v>
      </c>
      <c r="C218" s="246">
        <f>SpectralData!P52</f>
        <v>0.34172519175333299</v>
      </c>
      <c r="D218" s="246">
        <f>SpectralData!Q52</f>
        <v>0.15589616521333299</v>
      </c>
      <c r="E218" s="246">
        <f>SpectralData!R52</f>
        <v>6.8514946620666595E-2</v>
      </c>
      <c r="F218" s="246">
        <f>SpectralData!S52</f>
        <v>2.4390631197999901E-2</v>
      </c>
      <c r="G218" s="246">
        <f>SpectralData!T52</f>
        <v>5.1454064049999901E-2</v>
      </c>
      <c r="H218" s="246">
        <f>SpectralData!U52</f>
        <v>0.17931890742000001</v>
      </c>
      <c r="I218" s="246">
        <f>SpectralData!V52</f>
        <v>0.173873058319999</v>
      </c>
      <c r="J218" s="246">
        <f>SpectralData!W52</f>
        <v>0.107406749086666</v>
      </c>
      <c r="K218" s="246">
        <f>SpectralData!X52</f>
        <v>0.10277861658</v>
      </c>
      <c r="L218" s="246">
        <f>SpectralData!Y52</f>
        <v>0.329232170099999</v>
      </c>
      <c r="M218" s="246">
        <f>SpectralData!Z52</f>
        <v>9.8952558519333295E-2</v>
      </c>
    </row>
    <row r="219" spans="1:13">
      <c r="A219" s="232">
        <v>595</v>
      </c>
      <c r="B219" s="246">
        <f>SpectralData!O53</f>
        <v>0.48380821228666598</v>
      </c>
      <c r="C219" s="246">
        <f>SpectralData!P53</f>
        <v>0.33610394033333302</v>
      </c>
      <c r="D219" s="246">
        <f>SpectralData!Q53</f>
        <v>0.15864858692</v>
      </c>
      <c r="E219" s="246">
        <f>SpectralData!R53</f>
        <v>6.9912096341333302E-2</v>
      </c>
      <c r="F219" s="246">
        <f>SpectralData!S53</f>
        <v>2.5316092807999901E-2</v>
      </c>
      <c r="G219" s="246">
        <f>SpectralData!T53</f>
        <v>5.0433770497999998E-2</v>
      </c>
      <c r="H219" s="246">
        <f>SpectralData!U53</f>
        <v>0.16167188708666599</v>
      </c>
      <c r="I219" s="246">
        <f>SpectralData!V53</f>
        <v>0.177344136559999</v>
      </c>
      <c r="J219" s="246">
        <f>SpectralData!W53</f>
        <v>0.10627636084</v>
      </c>
      <c r="K219" s="246">
        <f>SpectralData!X53</f>
        <v>9.8707921980000002E-2</v>
      </c>
      <c r="L219" s="246">
        <f>SpectralData!Y53</f>
        <v>0.35696319070666599</v>
      </c>
      <c r="M219" s="246">
        <f>SpectralData!Z53</f>
        <v>0.107934183753333</v>
      </c>
    </row>
    <row r="220" spans="1:13">
      <c r="A220" s="232">
        <v>600</v>
      </c>
      <c r="B220" s="246">
        <f>SpectralData!O54</f>
        <v>0.516883374539999</v>
      </c>
      <c r="C220" s="246">
        <f>SpectralData!P54</f>
        <v>0.32832315826666603</v>
      </c>
      <c r="D220" s="246">
        <f>SpectralData!Q54</f>
        <v>0.15841183026</v>
      </c>
      <c r="E220" s="246">
        <f>SpectralData!R54</f>
        <v>6.94535503393333E-2</v>
      </c>
      <c r="F220" s="246">
        <f>SpectralData!S54</f>
        <v>2.4746978440000001E-2</v>
      </c>
      <c r="G220" s="246">
        <f>SpectralData!T54</f>
        <v>4.7947295822666602E-2</v>
      </c>
      <c r="H220" s="246">
        <f>SpectralData!U54</f>
        <v>0.14436221059333301</v>
      </c>
      <c r="I220" s="246">
        <f>SpectralData!V54</f>
        <v>0.1779132665</v>
      </c>
      <c r="J220" s="246">
        <f>SpectralData!W54</f>
        <v>0.102972601566666</v>
      </c>
      <c r="K220" s="246">
        <f>SpectralData!X54</f>
        <v>9.3125638962666596E-2</v>
      </c>
      <c r="L220" s="246">
        <f>SpectralData!Y54</f>
        <v>0.38099401347999901</v>
      </c>
      <c r="M220" s="246">
        <f>SpectralData!Z54</f>
        <v>0.114703252793333</v>
      </c>
    </row>
    <row r="221" spans="1:13">
      <c r="A221" s="232">
        <v>605</v>
      </c>
      <c r="B221" s="246">
        <f>SpectralData!O55</f>
        <v>0.54430446624666595</v>
      </c>
      <c r="C221" s="246">
        <f>SpectralData!P55</f>
        <v>0.317379606893333</v>
      </c>
      <c r="D221" s="246">
        <f>SpectralData!Q55</f>
        <v>0.15585769398666599</v>
      </c>
      <c r="E221" s="246">
        <f>SpectralData!R55</f>
        <v>6.7779717126666597E-2</v>
      </c>
      <c r="F221" s="246">
        <f>SpectralData!S55</f>
        <v>2.43579848606666E-2</v>
      </c>
      <c r="G221" s="246">
        <f>SpectralData!T55</f>
        <v>4.5408156712666597E-2</v>
      </c>
      <c r="H221" s="246">
        <f>SpectralData!U55</f>
        <v>0.12852535883333299</v>
      </c>
      <c r="I221" s="246">
        <f>SpectralData!V55</f>
        <v>0.17566105143333299</v>
      </c>
      <c r="J221" s="246">
        <f>SpectralData!W55</f>
        <v>9.8512130108666607E-2</v>
      </c>
      <c r="K221" s="246">
        <f>SpectralData!X55</f>
        <v>8.7119730631333298E-2</v>
      </c>
      <c r="L221" s="246">
        <f>SpectralData!Y55</f>
        <v>0.40017933654666599</v>
      </c>
      <c r="M221" s="246">
        <f>SpectralData!Z55</f>
        <v>0.119738198599999</v>
      </c>
    </row>
    <row r="222" spans="1:13">
      <c r="A222" s="232">
        <v>610</v>
      </c>
      <c r="B222" s="246">
        <f>SpectralData!O56</f>
        <v>0.56335360211333296</v>
      </c>
      <c r="C222" s="246">
        <f>SpectralData!P56</f>
        <v>0.30252263640666599</v>
      </c>
      <c r="D222" s="246">
        <f>SpectralData!Q56</f>
        <v>0.14978014944666601</v>
      </c>
      <c r="E222" s="246">
        <f>SpectralData!R56</f>
        <v>6.40697390239999E-2</v>
      </c>
      <c r="F222" s="246">
        <f>SpectralData!S56</f>
        <v>2.2672172387333302E-2</v>
      </c>
      <c r="G222" s="246">
        <f>SpectralData!T56</f>
        <v>4.1273797830666599E-2</v>
      </c>
      <c r="H222" s="246">
        <f>SpectralData!U56</f>
        <v>0.11343336358</v>
      </c>
      <c r="I222" s="246">
        <f>SpectralData!V56</f>
        <v>0.16976571528000001</v>
      </c>
      <c r="J222" s="246">
        <f>SpectralData!W56</f>
        <v>9.1970631281333301E-2</v>
      </c>
      <c r="K222" s="246">
        <f>SpectralData!X56</f>
        <v>7.9402517637333303E-2</v>
      </c>
      <c r="L222" s="246">
        <f>SpectralData!Y56</f>
        <v>0.41192202505999997</v>
      </c>
      <c r="M222" s="246">
        <f>SpectralData!Z56</f>
        <v>0.120739656453333</v>
      </c>
    </row>
    <row r="223" spans="1:13">
      <c r="A223" s="232">
        <v>615</v>
      </c>
      <c r="B223" s="246">
        <f>SpectralData!O57</f>
        <v>0.57575916546000006</v>
      </c>
      <c r="C223" s="246">
        <f>SpectralData!P57</f>
        <v>0.28645291646666599</v>
      </c>
      <c r="D223" s="246">
        <f>SpectralData!Q57</f>
        <v>0.142225322086666</v>
      </c>
      <c r="E223" s="246">
        <f>SpectralData!R57</f>
        <v>5.9789726574000002E-2</v>
      </c>
      <c r="F223" s="246">
        <f>SpectralData!S57</f>
        <v>2.0590231737333299E-2</v>
      </c>
      <c r="G223" s="246">
        <f>SpectralData!T57</f>
        <v>3.6972097077999901E-2</v>
      </c>
      <c r="H223" s="246">
        <f>SpectralData!U57</f>
        <v>9.9290291471333295E-2</v>
      </c>
      <c r="I223" s="246">
        <f>SpectralData!V57</f>
        <v>0.16201358668666599</v>
      </c>
      <c r="J223" s="246">
        <f>SpectralData!W57</f>
        <v>8.4529307684666599E-2</v>
      </c>
      <c r="K223" s="246">
        <f>SpectralData!X57</f>
        <v>7.1655837057999897E-2</v>
      </c>
      <c r="L223" s="246">
        <f>SpectralData!Y57</f>
        <v>0.41787833149999898</v>
      </c>
      <c r="M223" s="246">
        <f>SpectralData!Z57</f>
        <v>0.11896791458</v>
      </c>
    </row>
    <row r="224" spans="1:13">
      <c r="A224" s="232">
        <v>620</v>
      </c>
      <c r="B224" s="246">
        <f>SpectralData!O58</f>
        <v>0.58280434926000002</v>
      </c>
      <c r="C224" s="246">
        <f>SpectralData!P58</f>
        <v>0.27051875051333302</v>
      </c>
      <c r="D224" s="246">
        <f>SpectralData!Q58</f>
        <v>0.13395860226</v>
      </c>
      <c r="E224" s="246">
        <f>SpectralData!R58</f>
        <v>5.52392597193333E-2</v>
      </c>
      <c r="F224" s="246">
        <f>SpectralData!S58</f>
        <v>1.94836317693333E-2</v>
      </c>
      <c r="G224" s="246">
        <f>SpectralData!T58</f>
        <v>3.34763456973333E-2</v>
      </c>
      <c r="H224" s="246">
        <f>SpectralData!U58</f>
        <v>8.74707781453333E-2</v>
      </c>
      <c r="I224" s="246">
        <f>SpectralData!V58</f>
        <v>0.15297429529333301</v>
      </c>
      <c r="J224" s="246">
        <f>SpectralData!W58</f>
        <v>7.7839264869999897E-2</v>
      </c>
      <c r="K224" s="246">
        <f>SpectralData!X58</f>
        <v>6.4831097920666603E-2</v>
      </c>
      <c r="L224" s="246">
        <f>SpectralData!Y58</f>
        <v>0.419038942973333</v>
      </c>
      <c r="M224" s="246">
        <f>SpectralData!Z58</f>
        <v>0.11584263038000001</v>
      </c>
    </row>
    <row r="225" spans="1:13">
      <c r="A225" s="232">
        <v>625</v>
      </c>
      <c r="B225" s="246">
        <f>SpectralData!O59</f>
        <v>0.58507398223999996</v>
      </c>
      <c r="C225" s="246">
        <f>SpectralData!P59</f>
        <v>0.25486755244666598</v>
      </c>
      <c r="D225" s="246">
        <f>SpectralData!Q59</f>
        <v>0.12543688519999899</v>
      </c>
      <c r="E225" s="246">
        <f>SpectralData!R59</f>
        <v>5.1266223271999999E-2</v>
      </c>
      <c r="F225" s="246">
        <f>SpectralData!S59</f>
        <v>1.76914529006666E-2</v>
      </c>
      <c r="G225" s="246">
        <f>SpectralData!T59</f>
        <v>3.04284184773333E-2</v>
      </c>
      <c r="H225" s="246">
        <f>SpectralData!U59</f>
        <v>7.7895838420000002E-2</v>
      </c>
      <c r="I225" s="246">
        <f>SpectralData!V59</f>
        <v>0.144528565733333</v>
      </c>
      <c r="J225" s="246">
        <f>SpectralData!W59</f>
        <v>7.1567630450000003E-2</v>
      </c>
      <c r="K225" s="246">
        <f>SpectralData!X59</f>
        <v>5.83853127159999E-2</v>
      </c>
      <c r="L225" s="246">
        <f>SpectralData!Y59</f>
        <v>0.41661202749999998</v>
      </c>
      <c r="M225" s="246">
        <f>SpectralData!Z59</f>
        <v>0.111899550119999</v>
      </c>
    </row>
    <row r="226" spans="1:13">
      <c r="A226" s="232">
        <v>630</v>
      </c>
      <c r="B226" s="246">
        <f>SpectralData!O60</f>
        <v>0.58759024811333305</v>
      </c>
      <c r="C226" s="246">
        <f>SpectralData!P60</f>
        <v>0.24228213502666601</v>
      </c>
      <c r="D226" s="246">
        <f>SpectralData!Q60</f>
        <v>0.119169439306666</v>
      </c>
      <c r="E226" s="246">
        <f>SpectralData!R60</f>
        <v>4.7955594061999902E-2</v>
      </c>
      <c r="F226" s="246">
        <f>SpectralData!S60</f>
        <v>1.6980448961999999E-2</v>
      </c>
      <c r="G226" s="246">
        <f>SpectralData!T60</f>
        <v>2.7831469059999999E-2</v>
      </c>
      <c r="H226" s="246">
        <f>SpectralData!U60</f>
        <v>7.0356532415333295E-2</v>
      </c>
      <c r="I226" s="246">
        <f>SpectralData!V60</f>
        <v>0.13733789190000001</v>
      </c>
      <c r="J226" s="246">
        <f>SpectralData!W60</f>
        <v>6.6849685034000003E-2</v>
      </c>
      <c r="K226" s="246">
        <f>SpectralData!X60</f>
        <v>5.4393540700666598E-2</v>
      </c>
      <c r="L226" s="246">
        <f>SpectralData!Y60</f>
        <v>0.41409389750666598</v>
      </c>
      <c r="M226" s="246">
        <f>SpectralData!Z60</f>
        <v>0.108053794226666</v>
      </c>
    </row>
    <row r="227" spans="1:13">
      <c r="A227" s="232">
        <v>635</v>
      </c>
      <c r="B227" s="246">
        <f>SpectralData!O61</f>
        <v>0.59121497853333305</v>
      </c>
      <c r="C227" s="246">
        <f>SpectralData!P61</f>
        <v>0.23227193196000001</v>
      </c>
      <c r="D227" s="246">
        <f>SpectralData!Q61</f>
        <v>0.113031447106666</v>
      </c>
      <c r="E227" s="246">
        <f>SpectralData!R61</f>
        <v>4.5167571703999897E-2</v>
      </c>
      <c r="F227" s="246">
        <f>SpectralData!S61</f>
        <v>1.54777277313333E-2</v>
      </c>
      <c r="G227" s="246">
        <f>SpectralData!T61</f>
        <v>2.5980953693333302E-2</v>
      </c>
      <c r="H227" s="246">
        <f>SpectralData!U61</f>
        <v>6.4268088658000003E-2</v>
      </c>
      <c r="I227" s="246">
        <f>SpectralData!V61</f>
        <v>0.13133434931333299</v>
      </c>
      <c r="J227" s="246">
        <f>SpectralData!W61</f>
        <v>6.2557360331999906E-2</v>
      </c>
      <c r="K227" s="246">
        <f>SpectralData!X61</f>
        <v>5.0463320732000001E-2</v>
      </c>
      <c r="L227" s="246">
        <f>SpectralData!Y61</f>
        <v>0.41284654744666599</v>
      </c>
      <c r="M227" s="246">
        <f>SpectralData!Z61</f>
        <v>0.104921188993333</v>
      </c>
    </row>
    <row r="228" spans="1:13">
      <c r="A228" s="232">
        <v>640</v>
      </c>
      <c r="B228" s="246">
        <f>SpectralData!O62</f>
        <v>0.59944221496666605</v>
      </c>
      <c r="C228" s="246">
        <f>SpectralData!P62</f>
        <v>0.22604118981999899</v>
      </c>
      <c r="D228" s="246">
        <f>SpectralData!Q62</f>
        <v>0.109225200013333</v>
      </c>
      <c r="E228" s="246">
        <f>SpectralData!R62</f>
        <v>4.3118024190666598E-2</v>
      </c>
      <c r="F228" s="246">
        <f>SpectralData!S62</f>
        <v>1.4365624745999899E-2</v>
      </c>
      <c r="G228" s="246">
        <f>SpectralData!T62</f>
        <v>2.4497775237333302E-2</v>
      </c>
      <c r="H228" s="246">
        <f>SpectralData!U62</f>
        <v>6.0278373081999903E-2</v>
      </c>
      <c r="I228" s="246">
        <f>SpectralData!V62</f>
        <v>0.12766854350000001</v>
      </c>
      <c r="J228" s="246">
        <f>SpectralData!W62</f>
        <v>5.9398228009333302E-2</v>
      </c>
      <c r="K228" s="246">
        <f>SpectralData!X62</f>
        <v>4.7695192655999898E-2</v>
      </c>
      <c r="L228" s="246">
        <f>SpectralData!Y62</f>
        <v>0.41474863687333302</v>
      </c>
      <c r="M228" s="246">
        <f>SpectralData!Z62</f>
        <v>0.10305021222666599</v>
      </c>
    </row>
    <row r="229" spans="1:13">
      <c r="A229" s="232">
        <v>645</v>
      </c>
      <c r="B229" s="246">
        <f>SpectralData!O63</f>
        <v>0.61235649108666601</v>
      </c>
      <c r="C229" s="246">
        <f>SpectralData!P63</f>
        <v>0.22364673105999899</v>
      </c>
      <c r="D229" s="246">
        <f>SpectralData!Q63</f>
        <v>0.107906089146666</v>
      </c>
      <c r="E229" s="246">
        <f>SpectralData!R63</f>
        <v>4.2022657871333302E-2</v>
      </c>
      <c r="F229" s="246">
        <f>SpectralData!S63</f>
        <v>1.37219268479999E-2</v>
      </c>
      <c r="G229" s="246">
        <f>SpectralData!T63</f>
        <v>2.3314026990666599E-2</v>
      </c>
      <c r="H229" s="246">
        <f>SpectralData!U63</f>
        <v>5.7545543034666601E-2</v>
      </c>
      <c r="I229" s="246">
        <f>SpectralData!V63</f>
        <v>0.12549689419333299</v>
      </c>
      <c r="J229" s="246">
        <f>SpectralData!W63</f>
        <v>5.7549839656666602E-2</v>
      </c>
      <c r="K229" s="246">
        <f>SpectralData!X63</f>
        <v>4.6100400288666597E-2</v>
      </c>
      <c r="L229" s="246">
        <f>SpectralData!Y63</f>
        <v>0.42068445333999999</v>
      </c>
      <c r="M229" s="246">
        <f>SpectralData!Z63</f>
        <v>0.102603598899999</v>
      </c>
    </row>
    <row r="230" spans="1:13">
      <c r="A230" s="232">
        <v>650</v>
      </c>
      <c r="B230" s="246">
        <f>SpectralData!O64</f>
        <v>0.62905181121333298</v>
      </c>
      <c r="C230" s="246">
        <f>SpectralData!P64</f>
        <v>0.22462958526666599</v>
      </c>
      <c r="D230" s="246">
        <f>SpectralData!Q64</f>
        <v>0.109059061059999</v>
      </c>
      <c r="E230" s="246">
        <f>SpectralData!R64</f>
        <v>4.2633424440666597E-2</v>
      </c>
      <c r="F230" s="246">
        <f>SpectralData!S64</f>
        <v>1.47087658253333E-2</v>
      </c>
      <c r="G230" s="246">
        <f>SpectralData!T64</f>
        <v>2.3879864216E-2</v>
      </c>
      <c r="H230" s="246">
        <f>SpectralData!U64</f>
        <v>5.7889465966666602E-2</v>
      </c>
      <c r="I230" s="246">
        <f>SpectralData!V64</f>
        <v>0.12696509614000001</v>
      </c>
      <c r="J230" s="246">
        <f>SpectralData!W64</f>
        <v>5.8803654987999901E-2</v>
      </c>
      <c r="K230" s="246">
        <f>SpectralData!X64</f>
        <v>4.6427438099999899E-2</v>
      </c>
      <c r="L230" s="246">
        <f>SpectralData!Y64</f>
        <v>0.43060965221333303</v>
      </c>
      <c r="M230" s="246">
        <f>SpectralData!Z64</f>
        <v>0.10483738835333301</v>
      </c>
    </row>
    <row r="231" spans="1:13">
      <c r="A231" s="232">
        <v>655</v>
      </c>
      <c r="B231" s="246">
        <f>SpectralData!O65</f>
        <v>0.64582036336666604</v>
      </c>
      <c r="C231" s="246">
        <f>SpectralData!P65</f>
        <v>0.22760921478000001</v>
      </c>
      <c r="D231" s="246">
        <f>SpectralData!Q65</f>
        <v>0.11109354082</v>
      </c>
      <c r="E231" s="246">
        <f>SpectralData!R65</f>
        <v>4.3579065958666598E-2</v>
      </c>
      <c r="F231" s="246">
        <f>SpectralData!S65</f>
        <v>1.52344572546666E-2</v>
      </c>
      <c r="G231" s="246">
        <f>SpectralData!T65</f>
        <v>2.42880878446666E-2</v>
      </c>
      <c r="H231" s="246">
        <f>SpectralData!U65</f>
        <v>5.8278647103333303E-2</v>
      </c>
      <c r="I231" s="246">
        <f>SpectralData!V65</f>
        <v>0.12903193092666601</v>
      </c>
      <c r="J231" s="246">
        <f>SpectralData!W65</f>
        <v>5.9601857504000003E-2</v>
      </c>
      <c r="K231" s="246">
        <f>SpectralData!X65</f>
        <v>4.6945114454E-2</v>
      </c>
      <c r="L231" s="246">
        <f>SpectralData!Y65</f>
        <v>0.441070604959999</v>
      </c>
      <c r="M231" s="246">
        <f>SpectralData!Z65</f>
        <v>0.107205100999999</v>
      </c>
    </row>
    <row r="232" spans="1:13">
      <c r="A232" s="232">
        <v>660</v>
      </c>
      <c r="B232" s="246">
        <f>SpectralData!O66</f>
        <v>0.66047065734666599</v>
      </c>
      <c r="C232" s="246">
        <f>SpectralData!P66</f>
        <v>0.23164394888000001</v>
      </c>
      <c r="D232" s="246">
        <f>SpectralData!Q66</f>
        <v>0.113859645193333</v>
      </c>
      <c r="E232" s="246">
        <f>SpectralData!R66</f>
        <v>4.5459253629999898E-2</v>
      </c>
      <c r="F232" s="246">
        <f>SpectralData!S66</f>
        <v>1.6209552287333302E-2</v>
      </c>
      <c r="G232" s="246">
        <f>SpectralData!T66</f>
        <v>2.5105846405333299E-2</v>
      </c>
      <c r="H232" s="246">
        <f>SpectralData!U66</f>
        <v>6.0091471671999998E-2</v>
      </c>
      <c r="I232" s="246">
        <f>SpectralData!V66</f>
        <v>0.13238010979333301</v>
      </c>
      <c r="J232" s="246">
        <f>SpectralData!W66</f>
        <v>6.1602302233333302E-2</v>
      </c>
      <c r="K232" s="246">
        <f>SpectralData!X66</f>
        <v>4.8618959428E-2</v>
      </c>
      <c r="L232" s="246">
        <f>SpectralData!Y66</f>
        <v>0.45103458658000001</v>
      </c>
      <c r="M232" s="246">
        <f>SpectralData!Z66</f>
        <v>0.110432006839999</v>
      </c>
    </row>
    <row r="233" spans="1:13">
      <c r="A233" s="232">
        <v>665</v>
      </c>
      <c r="B233" s="246">
        <f>SpectralData!O67</f>
        <v>0.67319773863999899</v>
      </c>
      <c r="C233" s="246">
        <f>SpectralData!P67</f>
        <v>0.23608780161999901</v>
      </c>
      <c r="D233" s="246">
        <f>SpectralData!Q67</f>
        <v>0.116842295973333</v>
      </c>
      <c r="E233" s="246">
        <f>SpectralData!R67</f>
        <v>4.7115807532666601E-2</v>
      </c>
      <c r="F233" s="246">
        <f>SpectralData!S67</f>
        <v>1.66336900393333E-2</v>
      </c>
      <c r="G233" s="246">
        <f>SpectralData!T67</f>
        <v>2.6239143053999998E-2</v>
      </c>
      <c r="H233" s="246">
        <f>SpectralData!U67</f>
        <v>6.0985355376E-2</v>
      </c>
      <c r="I233" s="246">
        <f>SpectralData!V67</f>
        <v>0.135998903913333</v>
      </c>
      <c r="J233" s="246">
        <f>SpectralData!W67</f>
        <v>6.3252377509999902E-2</v>
      </c>
      <c r="K233" s="246">
        <f>SpectralData!X67</f>
        <v>5.0621203105333301E-2</v>
      </c>
      <c r="L233" s="246">
        <f>SpectralData!Y67</f>
        <v>0.46041006471333301</v>
      </c>
      <c r="M233" s="246">
        <f>SpectralData!Z67</f>
        <v>0.114117781959999</v>
      </c>
    </row>
    <row r="234" spans="1:13">
      <c r="A234" s="232">
        <v>670</v>
      </c>
      <c r="B234" s="246">
        <f>SpectralData!O68</f>
        <v>0.68368457029999996</v>
      </c>
      <c r="C234" s="246">
        <f>SpectralData!P68</f>
        <v>0.242896405533333</v>
      </c>
      <c r="D234" s="246">
        <f>SpectralData!Q68</f>
        <v>0.122449056633333</v>
      </c>
      <c r="E234" s="246">
        <f>SpectralData!R68</f>
        <v>5.055134805E-2</v>
      </c>
      <c r="F234" s="246">
        <f>SpectralData!S68</f>
        <v>1.8551171223333301E-2</v>
      </c>
      <c r="G234" s="246">
        <f>SpectralData!T68</f>
        <v>2.8745775221999899E-2</v>
      </c>
      <c r="H234" s="246">
        <f>SpectralData!U68</f>
        <v>6.4395232518666606E-2</v>
      </c>
      <c r="I234" s="246">
        <f>SpectralData!V68</f>
        <v>0.14156619262</v>
      </c>
      <c r="J234" s="246">
        <f>SpectralData!W68</f>
        <v>6.6890801429999897E-2</v>
      </c>
      <c r="K234" s="246">
        <f>SpectralData!X68</f>
        <v>5.3671964645333303E-2</v>
      </c>
      <c r="L234" s="246">
        <f>SpectralData!Y68</f>
        <v>0.47040112050666599</v>
      </c>
      <c r="M234" s="246">
        <f>SpectralData!Z68</f>
        <v>0.120118135459999</v>
      </c>
    </row>
    <row r="235" spans="1:13">
      <c r="A235" s="232">
        <v>675</v>
      </c>
      <c r="B235" s="246">
        <f>SpectralData!O69</f>
        <v>0.69321013386666597</v>
      </c>
      <c r="C235" s="246">
        <f>SpectralData!P69</f>
        <v>0.250996734619999</v>
      </c>
      <c r="D235" s="246">
        <f>SpectralData!Q69</f>
        <v>0.12908834583999901</v>
      </c>
      <c r="E235" s="246">
        <f>SpectralData!R69</f>
        <v>5.4237373352666603E-2</v>
      </c>
      <c r="F235" s="246">
        <f>SpectralData!S69</f>
        <v>2.02434982459999E-2</v>
      </c>
      <c r="G235" s="246">
        <f>SpectralData!T69</f>
        <v>3.1410095373999899E-2</v>
      </c>
      <c r="H235" s="246">
        <f>SpectralData!U69</f>
        <v>6.8738749503333293E-2</v>
      </c>
      <c r="I235" s="246">
        <f>SpectralData!V69</f>
        <v>0.14863081358666599</v>
      </c>
      <c r="J235" s="246">
        <f>SpectralData!W69</f>
        <v>7.1388014793999893E-2</v>
      </c>
      <c r="K235" s="246">
        <f>SpectralData!X69</f>
        <v>5.7271785419333303E-2</v>
      </c>
      <c r="L235" s="246">
        <f>SpectralData!Y69</f>
        <v>0.48123641967999897</v>
      </c>
      <c r="M235" s="246">
        <f>SpectralData!Z69</f>
        <v>0.126642042166666</v>
      </c>
    </row>
    <row r="236" spans="1:13">
      <c r="A236" s="232">
        <v>680</v>
      </c>
      <c r="B236" s="246">
        <f>SpectralData!O70</f>
        <v>0.70306569925999995</v>
      </c>
      <c r="C236" s="246">
        <f>SpectralData!P70</f>
        <v>0.26179905064666598</v>
      </c>
      <c r="D236" s="246">
        <f>SpectralData!Q70</f>
        <v>0.13715003077333299</v>
      </c>
      <c r="E236" s="246">
        <f>SpectralData!R70</f>
        <v>5.9629075368000002E-2</v>
      </c>
      <c r="F236" s="246">
        <f>SpectralData!S70</f>
        <v>2.34161691653333E-2</v>
      </c>
      <c r="G236" s="246">
        <f>SpectralData!T70</f>
        <v>3.4955598354666599E-2</v>
      </c>
      <c r="H236" s="246">
        <f>SpectralData!U70</f>
        <v>7.4612139702666599E-2</v>
      </c>
      <c r="I236" s="246">
        <f>SpectralData!V70</f>
        <v>0.15733678500000001</v>
      </c>
      <c r="J236" s="246">
        <f>SpectralData!W70</f>
        <v>7.7981520016666597E-2</v>
      </c>
      <c r="K236" s="246">
        <f>SpectralData!X70</f>
        <v>6.2729439735999995E-2</v>
      </c>
      <c r="L236" s="246">
        <f>SpectralData!Y70</f>
        <v>0.49301567840666599</v>
      </c>
      <c r="M236" s="246">
        <f>SpectralData!Z70</f>
        <v>0.13534426053333301</v>
      </c>
    </row>
    <row r="237" spans="1:13">
      <c r="A237" s="232">
        <v>685</v>
      </c>
      <c r="B237" s="246">
        <f>SpectralData!O71</f>
        <v>0.71285755920666605</v>
      </c>
      <c r="C237" s="246">
        <f>SpectralData!P71</f>
        <v>0.27494214503999997</v>
      </c>
      <c r="D237" s="246">
        <f>SpectralData!Q71</f>
        <v>0.14825880050000001</v>
      </c>
      <c r="E237" s="246">
        <f>SpectralData!R71</f>
        <v>6.7410457611333297E-2</v>
      </c>
      <c r="F237" s="246">
        <f>SpectralData!S71</f>
        <v>2.76057952246666E-2</v>
      </c>
      <c r="G237" s="246">
        <f>SpectralData!T71</f>
        <v>4.0594513098666601E-2</v>
      </c>
      <c r="H237" s="246">
        <f>SpectralData!U71</f>
        <v>8.2980120022000003E-2</v>
      </c>
      <c r="I237" s="246">
        <f>SpectralData!V71</f>
        <v>0.16889655685333299</v>
      </c>
      <c r="J237" s="246">
        <f>SpectralData!W71</f>
        <v>8.6195600509999998E-2</v>
      </c>
      <c r="K237" s="246">
        <f>SpectralData!X71</f>
        <v>7.0220205306666603E-2</v>
      </c>
      <c r="L237" s="246">
        <f>SpectralData!Y71</f>
        <v>0.50665021514666597</v>
      </c>
      <c r="M237" s="246">
        <f>SpectralData!Z71</f>
        <v>0.146238910033333</v>
      </c>
    </row>
    <row r="238" spans="1:13">
      <c r="A238" s="232">
        <v>690</v>
      </c>
      <c r="B238" s="246">
        <f>SpectralData!O72</f>
        <v>0.72201652018666596</v>
      </c>
      <c r="C238" s="246">
        <f>SpectralData!P72</f>
        <v>0.29018052801333299</v>
      </c>
      <c r="D238" s="246">
        <f>SpectralData!Q72</f>
        <v>0.16104713503999901</v>
      </c>
      <c r="E238" s="246">
        <f>SpectralData!R72</f>
        <v>7.5863898277333294E-2</v>
      </c>
      <c r="F238" s="246">
        <f>SpectralData!S72</f>
        <v>3.2815859635333303E-2</v>
      </c>
      <c r="G238" s="246">
        <f>SpectralData!T72</f>
        <v>4.6835093815999998E-2</v>
      </c>
      <c r="H238" s="246">
        <f>SpectralData!U72</f>
        <v>9.1948431649999898E-2</v>
      </c>
      <c r="I238" s="246">
        <f>SpectralData!V72</f>
        <v>0.18274318184666599</v>
      </c>
      <c r="J238" s="246">
        <f>SpectralData!W72</f>
        <v>9.6111837391333305E-2</v>
      </c>
      <c r="K238" s="246">
        <f>SpectralData!X72</f>
        <v>7.8785263379333295E-2</v>
      </c>
      <c r="L238" s="246">
        <f>SpectralData!Y72</f>
        <v>0.52151225535333301</v>
      </c>
      <c r="M238" s="246">
        <f>SpectralData!Z72</f>
        <v>0.159479344673333</v>
      </c>
    </row>
    <row r="239" spans="1:13">
      <c r="A239" s="232">
        <v>695</v>
      </c>
      <c r="B239" s="246">
        <f>SpectralData!O73</f>
        <v>0.73078283691333301</v>
      </c>
      <c r="C239" s="246">
        <f>SpectralData!P73</f>
        <v>0.30673660787333301</v>
      </c>
      <c r="D239" s="246">
        <f>SpectralData!Q73</f>
        <v>0.17515424473333299</v>
      </c>
      <c r="E239" s="246">
        <f>SpectralData!R73</f>
        <v>8.5449652989333297E-2</v>
      </c>
      <c r="F239" s="246">
        <f>SpectralData!S73</f>
        <v>3.8283292294000001E-2</v>
      </c>
      <c r="G239" s="246">
        <f>SpectralData!T73</f>
        <v>5.3962393124666601E-2</v>
      </c>
      <c r="H239" s="246">
        <f>SpectralData!U73</f>
        <v>0.10276223119</v>
      </c>
      <c r="I239" s="246">
        <f>SpectralData!V73</f>
        <v>0.197656492846666</v>
      </c>
      <c r="J239" s="246">
        <f>SpectralData!W73</f>
        <v>0.10719644102666601</v>
      </c>
      <c r="K239" s="246">
        <f>SpectralData!X73</f>
        <v>8.8874230067333304E-2</v>
      </c>
      <c r="L239" s="246">
        <f>SpectralData!Y73</f>
        <v>0.53681029258000001</v>
      </c>
      <c r="M239" s="246">
        <f>SpectralData!Z73</f>
        <v>0.17368643442666601</v>
      </c>
    </row>
    <row r="240" spans="1:13">
      <c r="A240" s="232">
        <v>700</v>
      </c>
      <c r="B240" s="246">
        <f>SpectralData!O74</f>
        <v>0.74103780110666595</v>
      </c>
      <c r="C240" s="246">
        <f>SpectralData!P74</f>
        <v>0.32718184153333302</v>
      </c>
      <c r="D240" s="246">
        <f>SpectralData!Q74</f>
        <v>0.19307294463999899</v>
      </c>
      <c r="E240" s="246">
        <f>SpectralData!R74</f>
        <v>9.8313133865999894E-2</v>
      </c>
      <c r="F240" s="246">
        <f>SpectralData!S74</f>
        <v>4.6342567442666599E-2</v>
      </c>
      <c r="G240" s="246">
        <f>SpectralData!T74</f>
        <v>6.4009891191999901E-2</v>
      </c>
      <c r="H240" s="246">
        <f>SpectralData!U74</f>
        <v>0.11661327553333301</v>
      </c>
      <c r="I240" s="246">
        <f>SpectralData!V74</f>
        <v>0.21600193279333299</v>
      </c>
      <c r="J240" s="246">
        <f>SpectralData!W74</f>
        <v>0.12156221707333301</v>
      </c>
      <c r="K240" s="246">
        <f>SpectralData!X74</f>
        <v>0.102070631664666</v>
      </c>
      <c r="L240" s="246">
        <f>SpectralData!Y74</f>
        <v>0.55447700500666597</v>
      </c>
      <c r="M240" s="246">
        <f>SpectralData!Z74</f>
        <v>0.19151333618666599</v>
      </c>
    </row>
    <row r="241" spans="1:13">
      <c r="A241" s="232">
        <v>705</v>
      </c>
      <c r="B241" s="246">
        <f>SpectralData!O75</f>
        <v>0.75189842733333301</v>
      </c>
      <c r="C241" s="246">
        <f>SpectralData!P75</f>
        <v>0.349173688246666</v>
      </c>
      <c r="D241" s="246">
        <f>SpectralData!Q75</f>
        <v>0.21256916045999999</v>
      </c>
      <c r="E241" s="246">
        <f>SpectralData!R75</f>
        <v>0.112917039226666</v>
      </c>
      <c r="F241" s="246">
        <f>SpectralData!S75</f>
        <v>5.5402213732000001E-2</v>
      </c>
      <c r="G241" s="246">
        <f>SpectralData!T75</f>
        <v>7.5381012916666601E-2</v>
      </c>
      <c r="H241" s="246">
        <f>SpectralData!U75</f>
        <v>0.132488494233333</v>
      </c>
      <c r="I241" s="246">
        <f>SpectralData!V75</f>
        <v>0.23629580815999901</v>
      </c>
      <c r="J241" s="246">
        <f>SpectralData!W75</f>
        <v>0.137876177466666</v>
      </c>
      <c r="K241" s="246">
        <f>SpectralData!X75</f>
        <v>0.116778084433333</v>
      </c>
      <c r="L241" s="246">
        <f>SpectralData!Y75</f>
        <v>0.57318095145333303</v>
      </c>
      <c r="M241" s="246">
        <f>SpectralData!Z75</f>
        <v>0.21186843363333299</v>
      </c>
    </row>
    <row r="242" spans="1:13">
      <c r="A242" s="232">
        <v>710</v>
      </c>
      <c r="B242" s="246">
        <f>SpectralData!O76</f>
        <v>0.76254666136666605</v>
      </c>
      <c r="C242" s="246">
        <f>SpectralData!P76</f>
        <v>0.374858403526666</v>
      </c>
      <c r="D242" s="246">
        <f>SpectralData!Q76</f>
        <v>0.237790005993333</v>
      </c>
      <c r="E242" s="246">
        <f>SpectralData!R76</f>
        <v>0.13270847448666601</v>
      </c>
      <c r="F242" s="246">
        <f>SpectralData!S76</f>
        <v>6.8893946964666594E-2</v>
      </c>
      <c r="G242" s="246">
        <f>SpectralData!T76</f>
        <v>9.0946692784666605E-2</v>
      </c>
      <c r="H242" s="246">
        <f>SpectralData!U76</f>
        <v>0.15310010337999899</v>
      </c>
      <c r="I242" s="246">
        <f>SpectralData!V76</f>
        <v>0.261806938166666</v>
      </c>
      <c r="J242" s="246">
        <f>SpectralData!W76</f>
        <v>0.15929177156666599</v>
      </c>
      <c r="K242" s="246">
        <f>SpectralData!X76</f>
        <v>0.136445737839999</v>
      </c>
      <c r="L242" s="246">
        <f>SpectralData!Y76</f>
        <v>0.59343541972666602</v>
      </c>
      <c r="M242" s="246">
        <f>SpectralData!Z76</f>
        <v>0.23608653639999899</v>
      </c>
    </row>
    <row r="243" spans="1:13">
      <c r="A243" s="232">
        <v>715</v>
      </c>
      <c r="B243" s="246">
        <f>SpectralData!O77</f>
        <v>0.772235183713333</v>
      </c>
      <c r="C243" s="246">
        <f>SpectralData!P77</f>
        <v>0.40157286836</v>
      </c>
      <c r="D243" s="246">
        <f>SpectralData!Q77</f>
        <v>0.263679101306666</v>
      </c>
      <c r="E243" s="246">
        <f>SpectralData!R77</f>
        <v>0.15438095793333301</v>
      </c>
      <c r="F243" s="246">
        <f>SpectralData!S77</f>
        <v>8.4912220637999997E-2</v>
      </c>
      <c r="G243" s="246">
        <f>SpectralData!T77</f>
        <v>0.109066351566666</v>
      </c>
      <c r="H243" s="246">
        <f>SpectralData!U77</f>
        <v>0.17618778102666599</v>
      </c>
      <c r="I243" s="246">
        <f>SpectralData!V77</f>
        <v>0.28858240508666599</v>
      </c>
      <c r="J243" s="246">
        <f>SpectralData!W77</f>
        <v>0.182693828586666</v>
      </c>
      <c r="K243" s="246">
        <f>SpectralData!X77</f>
        <v>0.15837475203333301</v>
      </c>
      <c r="L243" s="246">
        <f>SpectralData!Y77</f>
        <v>0.61349767558000001</v>
      </c>
      <c r="M243" s="246">
        <f>SpectralData!Z77</f>
        <v>0.26245000966666598</v>
      </c>
    </row>
    <row r="244" spans="1:13">
      <c r="A244" s="232">
        <v>720</v>
      </c>
      <c r="B244" s="246">
        <f>SpectralData!O78</f>
        <v>0.78308441670666595</v>
      </c>
      <c r="C244" s="246">
        <f>SpectralData!P78</f>
        <v>0.431059600826666</v>
      </c>
      <c r="D244" s="246">
        <f>SpectralData!Q78</f>
        <v>0.29376700210000001</v>
      </c>
      <c r="E244" s="246">
        <f>SpectralData!R78</f>
        <v>0.18019849396000001</v>
      </c>
      <c r="F244" s="246">
        <f>SpectralData!S78</f>
        <v>0.104647752759333</v>
      </c>
      <c r="G244" s="246">
        <f>SpectralData!T78</f>
        <v>0.13110808307999999</v>
      </c>
      <c r="H244" s="246">
        <f>SpectralData!U78</f>
        <v>0.20270285797333301</v>
      </c>
      <c r="I244" s="246">
        <f>SpectralData!V78</f>
        <v>0.31856768798666601</v>
      </c>
      <c r="J244" s="246">
        <f>SpectralData!W78</f>
        <v>0.20961552047999901</v>
      </c>
      <c r="K244" s="246">
        <f>SpectralData!X78</f>
        <v>0.18420331063999901</v>
      </c>
      <c r="L244" s="246">
        <f>SpectralData!Y78</f>
        <v>0.63472635142</v>
      </c>
      <c r="M244" s="246">
        <f>SpectralData!Z78</f>
        <v>0.29262639998666601</v>
      </c>
    </row>
    <row r="245" spans="1:13">
      <c r="A245" s="232">
        <v>725</v>
      </c>
      <c r="B245" s="246">
        <f>SpectralData!O79</f>
        <v>0.79329664103333297</v>
      </c>
      <c r="C245" s="246">
        <f>SpectralData!P79</f>
        <v>0.46161567687999899</v>
      </c>
      <c r="D245" s="246">
        <f>SpectralData!Q79</f>
        <v>0.32601174927333298</v>
      </c>
      <c r="E245" s="246">
        <f>SpectralData!R79</f>
        <v>0.20980093255333301</v>
      </c>
      <c r="F245" s="246">
        <f>SpectralData!S79</f>
        <v>0.12827468808666601</v>
      </c>
      <c r="G245" s="246">
        <f>SpectralData!T79</f>
        <v>0.15738080596666601</v>
      </c>
      <c r="H245" s="246">
        <f>SpectralData!U79</f>
        <v>0.23326778412666599</v>
      </c>
      <c r="I245" s="246">
        <f>SpectralData!V79</f>
        <v>0.35117382812666598</v>
      </c>
      <c r="J245" s="246">
        <f>SpectralData!W79</f>
        <v>0.24041707738000001</v>
      </c>
      <c r="K245" s="246">
        <f>SpectralData!X79</f>
        <v>0.21380823261333301</v>
      </c>
      <c r="L245" s="246">
        <f>SpectralData!Y79</f>
        <v>0.65606967162666596</v>
      </c>
      <c r="M245" s="246">
        <f>SpectralData!Z79</f>
        <v>0.32516391881333301</v>
      </c>
    </row>
    <row r="246" spans="1:13">
      <c r="A246" s="232">
        <v>730</v>
      </c>
      <c r="B246" s="246">
        <f>SpectralData!O80</f>
        <v>0.80350136312666598</v>
      </c>
      <c r="C246" s="246">
        <f>SpectralData!P80</f>
        <v>0.49375853983999901</v>
      </c>
      <c r="D246" s="246">
        <f>SpectralData!Q80</f>
        <v>0.36155501301333298</v>
      </c>
      <c r="E246" s="246">
        <f>SpectralData!R80</f>
        <v>0.24293954848666599</v>
      </c>
      <c r="F246" s="246">
        <f>SpectralData!S80</f>
        <v>0.15630581156000001</v>
      </c>
      <c r="G246" s="246">
        <f>SpectralData!T80</f>
        <v>0.188005378713333</v>
      </c>
      <c r="H246" s="246">
        <f>SpectralData!U80</f>
        <v>0.26715089543999998</v>
      </c>
      <c r="I246" s="246">
        <f>SpectralData!V80</f>
        <v>0.386169530239999</v>
      </c>
      <c r="J246" s="246">
        <f>SpectralData!W80</f>
        <v>0.27478836949999902</v>
      </c>
      <c r="K246" s="246">
        <f>SpectralData!X80</f>
        <v>0.24732428106666601</v>
      </c>
      <c r="L246" s="246">
        <f>SpectralData!Y80</f>
        <v>0.67812297056666604</v>
      </c>
      <c r="M246" s="246">
        <f>SpectralData!Z80</f>
        <v>0.35973781586666598</v>
      </c>
    </row>
    <row r="247" spans="1:13">
      <c r="A247" s="232">
        <v>735</v>
      </c>
      <c r="B247" s="246">
        <f>SpectralData!O81</f>
        <v>0.81265394083333298</v>
      </c>
      <c r="C247" s="246">
        <f>SpectralData!P81</f>
        <v>0.52596770731333298</v>
      </c>
      <c r="D247" s="246">
        <f>SpectralData!Q81</f>
        <v>0.39781330109333302</v>
      </c>
      <c r="E247" s="246">
        <f>SpectralData!R81</f>
        <v>0.27927863820666599</v>
      </c>
      <c r="F247" s="246">
        <f>SpectralData!S81</f>
        <v>0.18823491540000001</v>
      </c>
      <c r="G247" s="246">
        <f>SpectralData!T81</f>
        <v>0.22180180487333301</v>
      </c>
      <c r="H247" s="246">
        <f>SpectralData!U81</f>
        <v>0.30396271897333299</v>
      </c>
      <c r="I247" s="246">
        <f>SpectralData!V81</f>
        <v>0.42188185627999902</v>
      </c>
      <c r="J247" s="246">
        <f>SpectralData!W81</f>
        <v>0.31151740772666597</v>
      </c>
      <c r="K247" s="246">
        <f>SpectralData!X81</f>
        <v>0.28367387263333299</v>
      </c>
      <c r="L247" s="246">
        <f>SpectralData!Y81</f>
        <v>0.69810567727999995</v>
      </c>
      <c r="M247" s="246">
        <f>SpectralData!Z81</f>
        <v>0.39619958496666602</v>
      </c>
    </row>
    <row r="248" spans="1:13">
      <c r="A248" s="232">
        <v>740</v>
      </c>
      <c r="B248" s="246">
        <f>SpectralData!O82</f>
        <v>0.82070560201333298</v>
      </c>
      <c r="C248" s="246">
        <f>SpectralData!P82</f>
        <v>0.55733852131999995</v>
      </c>
      <c r="D248" s="246">
        <f>SpectralData!Q82</f>
        <v>0.43461722310000001</v>
      </c>
      <c r="E248" s="246">
        <f>SpectralData!R82</f>
        <v>0.31692388662666598</v>
      </c>
      <c r="F248" s="246">
        <f>SpectralData!S82</f>
        <v>0.22255503844666599</v>
      </c>
      <c r="G248" s="246">
        <f>SpectralData!T82</f>
        <v>0.25830629348666601</v>
      </c>
      <c r="H248" s="246">
        <f>SpectralData!U82</f>
        <v>0.34142319488</v>
      </c>
      <c r="I248" s="246">
        <f>SpectralData!V82</f>
        <v>0.45773811341333298</v>
      </c>
      <c r="J248" s="246">
        <f>SpectralData!W82</f>
        <v>0.34917105864666598</v>
      </c>
      <c r="K248" s="246">
        <f>SpectralData!X82</f>
        <v>0.320909942633333</v>
      </c>
      <c r="L248" s="246">
        <f>SpectralData!Y82</f>
        <v>0.717028386439999</v>
      </c>
      <c r="M248" s="246">
        <f>SpectralData!Z82</f>
        <v>0.43285045623999902</v>
      </c>
    </row>
    <row r="249" spans="1:13">
      <c r="A249" s="232">
        <v>745</v>
      </c>
      <c r="B249" s="246">
        <f>SpectralData!O83</f>
        <v>0.829969777426666</v>
      </c>
      <c r="C249" s="246">
        <f>SpectralData!P83</f>
        <v>0.59002056884666598</v>
      </c>
      <c r="D249" s="246">
        <f>SpectralData!Q83</f>
        <v>0.47350625103333299</v>
      </c>
      <c r="E249" s="246">
        <f>SpectralData!R83</f>
        <v>0.35873956553333303</v>
      </c>
      <c r="F249" s="246">
        <f>SpectralData!S83</f>
        <v>0.26333832804666601</v>
      </c>
      <c r="G249" s="246">
        <f>SpectralData!T83</f>
        <v>0.29976593398666601</v>
      </c>
      <c r="H249" s="246">
        <f>SpectralData!U83</f>
        <v>0.38286710612666602</v>
      </c>
      <c r="I249" s="246">
        <f>SpectralData!V83</f>
        <v>0.49589530181999902</v>
      </c>
      <c r="J249" s="246">
        <f>SpectralData!W83</f>
        <v>0.39071121724000002</v>
      </c>
      <c r="K249" s="246">
        <f>SpectralData!X83</f>
        <v>0.36287973276666602</v>
      </c>
      <c r="L249" s="246">
        <f>SpectralData!Y83</f>
        <v>0.73770576985333303</v>
      </c>
      <c r="M249" s="246">
        <f>SpectralData!Z83</f>
        <v>0.47177412159999899</v>
      </c>
    </row>
    <row r="250" spans="1:13">
      <c r="A250" s="232">
        <v>750</v>
      </c>
      <c r="B250" s="246">
        <f>SpectralData!O84</f>
        <v>0.83806861877999905</v>
      </c>
      <c r="C250" s="246">
        <f>SpectralData!P84</f>
        <v>0.62144708252000003</v>
      </c>
      <c r="D250" s="246">
        <f>SpectralData!Q84</f>
        <v>0.51282828522666601</v>
      </c>
      <c r="E250" s="246">
        <f>SpectralData!R84</f>
        <v>0.401500892646666</v>
      </c>
      <c r="F250" s="246">
        <f>SpectralData!S84</f>
        <v>0.30601184845333301</v>
      </c>
      <c r="G250" s="246">
        <f>SpectralData!T84</f>
        <v>0.34274710336666597</v>
      </c>
      <c r="H250" s="246">
        <f>SpectralData!U84</f>
        <v>0.42587539164666599</v>
      </c>
      <c r="I250" s="246">
        <f>SpectralData!V84</f>
        <v>0.53381423695333297</v>
      </c>
      <c r="J250" s="246">
        <f>SpectralData!W84</f>
        <v>0.43252329508666598</v>
      </c>
      <c r="K250" s="246">
        <f>SpectralData!X84</f>
        <v>0.40603920999999898</v>
      </c>
      <c r="L250" s="246">
        <f>SpectralData!Y84</f>
        <v>0.75560345967333298</v>
      </c>
      <c r="M250" s="246">
        <f>SpectralData!Z84</f>
        <v>0.51063262176666602</v>
      </c>
    </row>
    <row r="251" spans="1:13">
      <c r="A251" s="232">
        <v>755</v>
      </c>
      <c r="B251" s="246">
        <f>SpectralData!O85</f>
        <v>0.84535485330666604</v>
      </c>
      <c r="C251" s="246">
        <f>SpectralData!P85</f>
        <v>0.65197805786666596</v>
      </c>
      <c r="D251" s="246">
        <f>SpectralData!Q85</f>
        <v>0.55131974538666595</v>
      </c>
      <c r="E251" s="246">
        <f>SpectralData!R85</f>
        <v>0.44670852153333301</v>
      </c>
      <c r="F251" s="246">
        <f>SpectralData!S85</f>
        <v>0.35263769276666601</v>
      </c>
      <c r="G251" s="246">
        <f>SpectralData!T85</f>
        <v>0.38966475168666598</v>
      </c>
      <c r="H251" s="246">
        <f>SpectralData!U85</f>
        <v>0.46925053915999998</v>
      </c>
      <c r="I251" s="246">
        <f>SpectralData!V85</f>
        <v>0.57121963755333305</v>
      </c>
      <c r="J251" s="246">
        <f>SpectralData!W85</f>
        <v>0.47608015950666599</v>
      </c>
      <c r="K251" s="246">
        <f>SpectralData!X85</f>
        <v>0.45030003612000002</v>
      </c>
      <c r="L251" s="246">
        <f>SpectralData!Y85</f>
        <v>0.77345061239333301</v>
      </c>
      <c r="M251" s="246">
        <f>SpectralData!Z85</f>
        <v>0.54930450693333299</v>
      </c>
    </row>
    <row r="252" spans="1:13">
      <c r="A252" s="232">
        <v>760</v>
      </c>
      <c r="B252" s="246">
        <f>SpectralData!O86</f>
        <v>0.85277552287333303</v>
      </c>
      <c r="C252" s="246">
        <f>SpectralData!P86</f>
        <v>0.68052466838000003</v>
      </c>
      <c r="D252" s="246">
        <f>SpectralData!Q86</f>
        <v>0.58900425974000004</v>
      </c>
      <c r="E252" s="246">
        <f>SpectralData!R86</f>
        <v>0.49011386616666602</v>
      </c>
      <c r="F252" s="246">
        <f>SpectralData!S86</f>
        <v>0.400075345353333</v>
      </c>
      <c r="G252" s="246">
        <f>SpectralData!T86</f>
        <v>0.43570065561999999</v>
      </c>
      <c r="H252" s="246">
        <f>SpectralData!U86</f>
        <v>0.512207153319999</v>
      </c>
      <c r="I252" s="246">
        <f>SpectralData!V86</f>
        <v>0.60700876109333302</v>
      </c>
      <c r="J252" s="246">
        <f>SpectralData!W86</f>
        <v>0.51823571776666599</v>
      </c>
      <c r="K252" s="246">
        <f>SpectralData!X86</f>
        <v>0.49445587157999998</v>
      </c>
      <c r="L252" s="246">
        <f>SpectralData!Y86</f>
        <v>0.78886857605333305</v>
      </c>
      <c r="M252" s="246">
        <f>SpectralData!Z86</f>
        <v>0.58620090993333296</v>
      </c>
    </row>
    <row r="253" spans="1:13">
      <c r="A253" s="232">
        <v>765</v>
      </c>
      <c r="B253" s="246">
        <f>SpectralData!O87</f>
        <v>0.85780547078000002</v>
      </c>
      <c r="C253" s="246">
        <f>SpectralData!P87</f>
        <v>0.70736734008666602</v>
      </c>
      <c r="D253" s="246">
        <f>SpectralData!Q87</f>
        <v>0.62393762206000003</v>
      </c>
      <c r="E253" s="246">
        <f>SpectralData!R87</f>
        <v>0.53288895162666605</v>
      </c>
      <c r="F253" s="246">
        <f>SpectralData!S87</f>
        <v>0.44726796468666602</v>
      </c>
      <c r="G253" s="246">
        <f>SpectralData!T87</f>
        <v>0.48135408274666602</v>
      </c>
      <c r="H253" s="246">
        <f>SpectralData!U87</f>
        <v>0.55341071319333301</v>
      </c>
      <c r="I253" s="246">
        <f>SpectralData!V87</f>
        <v>0.64061545816666599</v>
      </c>
      <c r="J253" s="246">
        <f>SpectralData!W87</f>
        <v>0.559146540326666</v>
      </c>
      <c r="K253" s="246">
        <f>SpectralData!X87</f>
        <v>0.53672686766</v>
      </c>
      <c r="L253" s="246">
        <f>SpectralData!Y87</f>
        <v>0.80315817769333298</v>
      </c>
      <c r="M253" s="246">
        <f>SpectralData!Z87</f>
        <v>0.62125169881333298</v>
      </c>
    </row>
    <row r="254" spans="1:13">
      <c r="A254" s="232">
        <v>770</v>
      </c>
      <c r="B254" s="246">
        <f>SpectralData!O88</f>
        <v>0.86290251668666595</v>
      </c>
      <c r="C254" s="246">
        <f>SpectralData!P88</f>
        <v>0.73138724262666599</v>
      </c>
      <c r="D254" s="246">
        <f>SpectralData!Q88</f>
        <v>0.65684905498000001</v>
      </c>
      <c r="E254" s="246">
        <f>SpectralData!R88</f>
        <v>0.57380845132666602</v>
      </c>
      <c r="F254" s="246">
        <f>SpectralData!S88</f>
        <v>0.49387282053999998</v>
      </c>
      <c r="G254" s="246">
        <f>SpectralData!T88</f>
        <v>0.52567395783333304</v>
      </c>
      <c r="H254" s="246">
        <f>SpectralData!U88</f>
        <v>0.59262880707333299</v>
      </c>
      <c r="I254" s="246">
        <f>SpectralData!V88</f>
        <v>0.67230083210666602</v>
      </c>
      <c r="J254" s="246">
        <f>SpectralData!W88</f>
        <v>0.59805197905999996</v>
      </c>
      <c r="K254" s="246">
        <f>SpectralData!X88</f>
        <v>0.57717755635999901</v>
      </c>
      <c r="L254" s="246">
        <f>SpectralData!Y88</f>
        <v>0.81604041543999895</v>
      </c>
      <c r="M254" s="246">
        <f>SpectralData!Z88</f>
        <v>0.65402873994666599</v>
      </c>
    </row>
    <row r="255" spans="1:13">
      <c r="A255" s="232">
        <v>775</v>
      </c>
      <c r="B255" s="246">
        <f>SpectralData!O89</f>
        <v>0.868539357513333</v>
      </c>
      <c r="C255" s="246">
        <f>SpectralData!P89</f>
        <v>0.75357623291999898</v>
      </c>
      <c r="D255" s="246">
        <f>SpectralData!Q89</f>
        <v>0.68764889525333295</v>
      </c>
      <c r="E255" s="246">
        <f>SpectralData!R89</f>
        <v>0.61175155639999901</v>
      </c>
      <c r="F255" s="246">
        <f>SpectralData!S89</f>
        <v>0.53757483927333305</v>
      </c>
      <c r="G255" s="246">
        <f>SpectralData!T89</f>
        <v>0.56817032369333298</v>
      </c>
      <c r="H255" s="246">
        <f>SpectralData!U89</f>
        <v>0.630201540633333</v>
      </c>
      <c r="I255" s="246">
        <f>SpectralData!V89</f>
        <v>0.70005457050666597</v>
      </c>
      <c r="J255" s="246">
        <f>SpectralData!W89</f>
        <v>0.63368931579999899</v>
      </c>
      <c r="K255" s="246">
        <f>SpectralData!X89</f>
        <v>0.61571588643333297</v>
      </c>
      <c r="L255" s="246">
        <f>SpectralData!Y89</f>
        <v>0.82708651223999996</v>
      </c>
      <c r="M255" s="246">
        <f>SpectralData!Z89</f>
        <v>0.68399173481999898</v>
      </c>
    </row>
    <row r="256" spans="1:13">
      <c r="A256" s="232">
        <v>780</v>
      </c>
      <c r="B256" s="246">
        <f>SpectralData!O90</f>
        <v>0.87187260436666603</v>
      </c>
      <c r="C256" s="246">
        <f>SpectralData!P90</f>
        <v>0.77289606219999896</v>
      </c>
      <c r="D256" s="246">
        <f>SpectralData!Q90</f>
        <v>0.71442421467999995</v>
      </c>
      <c r="E256" s="246">
        <f>SpectralData!R90</f>
        <v>0.64766420745999898</v>
      </c>
      <c r="F256" s="246">
        <f>SpectralData!S90</f>
        <v>0.58048760477333305</v>
      </c>
      <c r="G256" s="246">
        <f>SpectralData!T90</f>
        <v>0.60834597015333303</v>
      </c>
      <c r="H256" s="246">
        <f>SpectralData!U90</f>
        <v>0.66351744589333295</v>
      </c>
      <c r="I256" s="246">
        <f>SpectralData!V90</f>
        <v>0.72728514099333297</v>
      </c>
      <c r="J256" s="246">
        <f>SpectralData!W90</f>
        <v>0.66746092731999995</v>
      </c>
      <c r="K256" s="246">
        <f>SpectralData!X90</f>
        <v>0.650745567319999</v>
      </c>
      <c r="L256" s="246">
        <f>SpectralData!Y90</f>
        <v>0.83718533834666597</v>
      </c>
      <c r="M256" s="246">
        <f>SpectralData!Z90</f>
        <v>0.711575637813333</v>
      </c>
    </row>
    <row r="257" spans="1:14">
      <c r="A257" s="232">
        <v>785</v>
      </c>
      <c r="B257" s="246">
        <f>SpectralData!O91</f>
        <v>0.87619057209999895</v>
      </c>
      <c r="C257" s="246">
        <f>SpectralData!P91</f>
        <v>0.79201811726000004</v>
      </c>
      <c r="D257" s="246">
        <f>SpectralData!Q91</f>
        <v>0.74171866862666602</v>
      </c>
      <c r="E257" s="246">
        <f>SpectralData!R91</f>
        <v>0.68192914327333298</v>
      </c>
      <c r="F257" s="246">
        <f>SpectralData!S91</f>
        <v>0.62105066171333301</v>
      </c>
      <c r="G257" s="246">
        <f>SpectralData!T91</f>
        <v>0.64645455423333298</v>
      </c>
      <c r="H257" s="246">
        <f>SpectralData!U91</f>
        <v>0.69656007385999896</v>
      </c>
      <c r="I257" s="246">
        <f>SpectralData!V91</f>
        <v>0.751181793206666</v>
      </c>
      <c r="J257" s="246">
        <f>SpectralData!W91</f>
        <v>0.69903581238666601</v>
      </c>
      <c r="K257" s="246">
        <f>SpectralData!X91</f>
        <v>0.68445991005999895</v>
      </c>
      <c r="L257" s="246">
        <f>SpectralData!Y91</f>
        <v>0.84731416321333297</v>
      </c>
      <c r="M257" s="246">
        <f>SpectralData!Z91</f>
        <v>0.73816193135333297</v>
      </c>
    </row>
    <row r="258" spans="1:14">
      <c r="A258" s="232">
        <v>790</v>
      </c>
      <c r="B258" s="246">
        <f>SpectralData!O92</f>
        <v>0.88040505471999997</v>
      </c>
      <c r="C258" s="246">
        <f>SpectralData!P92</f>
        <v>0.80834256490666601</v>
      </c>
      <c r="D258" s="246">
        <f>SpectralData!Q92</f>
        <v>0.76380525716000003</v>
      </c>
      <c r="E258" s="246">
        <f>SpectralData!R92</f>
        <v>0.71083214314666598</v>
      </c>
      <c r="F258" s="246">
        <f>SpectralData!S92</f>
        <v>0.65729387918666604</v>
      </c>
      <c r="G258" s="246">
        <f>SpectralData!T92</f>
        <v>0.67982644145333304</v>
      </c>
      <c r="H258" s="246">
        <f>SpectralData!U92</f>
        <v>0.72427999369333296</v>
      </c>
      <c r="I258" s="246">
        <f>SpectralData!V92</f>
        <v>0.77239665223333298</v>
      </c>
      <c r="J258" s="246">
        <f>SpectralData!W92</f>
        <v>0.72662232461999998</v>
      </c>
      <c r="K258" s="246">
        <f>SpectralData!X92</f>
        <v>0.71439877827999898</v>
      </c>
      <c r="L258" s="246">
        <f>SpectralData!Y92</f>
        <v>0.85467662557333302</v>
      </c>
      <c r="M258" s="246">
        <f>SpectralData!Z92</f>
        <v>0.75999039713333305</v>
      </c>
    </row>
    <row r="259" spans="1:14">
      <c r="A259" s="232">
        <v>795</v>
      </c>
      <c r="B259" s="246">
        <f>SpectralData!O93</f>
        <v>0.88286659240666598</v>
      </c>
      <c r="C259" s="246">
        <f>SpectralData!P93</f>
        <v>0.82208471172666597</v>
      </c>
      <c r="D259" s="246">
        <f>SpectralData!Q93</f>
        <v>0.783892217</v>
      </c>
      <c r="E259" s="246">
        <f>SpectralData!R93</f>
        <v>0.73794297791999897</v>
      </c>
      <c r="F259" s="246">
        <f>SpectralData!S93</f>
        <v>0.69029140725333304</v>
      </c>
      <c r="G259" s="246">
        <f>SpectralData!T93</f>
        <v>0.710532648739999</v>
      </c>
      <c r="H259" s="246">
        <f>SpectralData!U93</f>
        <v>0.74980521138</v>
      </c>
      <c r="I259" s="246">
        <f>SpectralData!V93</f>
        <v>0.79132261150666605</v>
      </c>
      <c r="J259" s="246">
        <f>SpectralData!W93</f>
        <v>0.75004871113333305</v>
      </c>
      <c r="K259" s="246">
        <f>SpectralData!X93</f>
        <v>0.74072767638000003</v>
      </c>
      <c r="L259" s="246">
        <f>SpectralData!Y93</f>
        <v>0.86218601989333299</v>
      </c>
      <c r="M259" s="246">
        <f>SpectralData!Z93</f>
        <v>0.77930213928666603</v>
      </c>
    </row>
    <row r="260" spans="1:14">
      <c r="A260" s="232">
        <v>800</v>
      </c>
      <c r="B260" s="246">
        <f>SpectralData!O94</f>
        <v>0.88581596374666605</v>
      </c>
      <c r="C260" s="246">
        <f>SpectralData!P94</f>
        <v>0.83341782633999995</v>
      </c>
      <c r="D260" s="246">
        <f>SpectralData!Q94</f>
        <v>0.80116440327999905</v>
      </c>
      <c r="E260" s="246">
        <f>SpectralData!R94</f>
        <v>0.76135967000666604</v>
      </c>
      <c r="F260" s="246">
        <f>SpectralData!S94</f>
        <v>0.71933090718666604</v>
      </c>
      <c r="G260" s="246">
        <f>SpectralData!T94</f>
        <v>0.73813719686000001</v>
      </c>
      <c r="H260" s="246">
        <f>SpectralData!U94</f>
        <v>0.77269869485333298</v>
      </c>
      <c r="I260" s="246">
        <f>SpectralData!V94</f>
        <v>0.80770725504666596</v>
      </c>
      <c r="J260" s="246">
        <f>SpectralData!W94</f>
        <v>0.77297425332666603</v>
      </c>
      <c r="K260" s="246">
        <f>SpectralData!X94</f>
        <v>0.76431125386666598</v>
      </c>
      <c r="L260" s="246">
        <f>SpectralData!Y94</f>
        <v>0.86819403075333301</v>
      </c>
      <c r="M260" s="246">
        <f>SpectralData!Z94</f>
        <v>0.79698961894666598</v>
      </c>
    </row>
    <row r="261" spans="1:14">
      <c r="A261" s="232">
        <v>805</v>
      </c>
      <c r="B261" s="246">
        <f>SpectralData!O95</f>
        <v>0.88846615092666603</v>
      </c>
      <c r="C261" s="246">
        <f>SpectralData!P95</f>
        <v>0.84560453288000004</v>
      </c>
      <c r="D261" s="246">
        <f>SpectralData!Q95</f>
        <v>0.81697795104000004</v>
      </c>
      <c r="E261" s="246">
        <f>SpectralData!R95</f>
        <v>0.78301330566000005</v>
      </c>
      <c r="F261" s="246">
        <f>SpectralData!S95</f>
        <v>0.746313044226666</v>
      </c>
      <c r="G261" s="246">
        <f>SpectralData!T95</f>
        <v>0.76248296610666599</v>
      </c>
      <c r="H261" s="246">
        <f>SpectralData!U95</f>
        <v>0.79353605142666594</v>
      </c>
      <c r="I261" s="246">
        <f>SpectralData!V95</f>
        <v>0.82286362711999905</v>
      </c>
      <c r="J261" s="246">
        <f>SpectralData!W95</f>
        <v>0.79262281289999903</v>
      </c>
      <c r="K261" s="246">
        <f>SpectralData!X95</f>
        <v>0.785174077353333</v>
      </c>
      <c r="L261" s="246">
        <f>SpectralData!Y95</f>
        <v>0.87458864338666598</v>
      </c>
      <c r="M261" s="246">
        <f>SpectralData!Z95</f>
        <v>0.81319835916666605</v>
      </c>
    </row>
    <row r="262" spans="1:14">
      <c r="A262" s="232">
        <v>810</v>
      </c>
      <c r="B262" s="246">
        <f>SpectralData!O96</f>
        <v>0.88995512390666598</v>
      </c>
      <c r="C262" s="246">
        <f>SpectralData!P96</f>
        <v>0.85344105020666605</v>
      </c>
      <c r="D262" s="246">
        <f>SpectralData!Q96</f>
        <v>0.82955359395999895</v>
      </c>
      <c r="E262" s="246">
        <f>SpectralData!R96</f>
        <v>0.80058468627333301</v>
      </c>
      <c r="F262" s="246">
        <f>SpectralData!S96</f>
        <v>0.76862267557333297</v>
      </c>
      <c r="G262" s="246">
        <f>SpectralData!T96</f>
        <v>0.78246896871333305</v>
      </c>
      <c r="H262" s="246">
        <f>SpectralData!U96</f>
        <v>0.80840651958666598</v>
      </c>
      <c r="I262" s="246">
        <f>SpectralData!V96</f>
        <v>0.83527819315333296</v>
      </c>
      <c r="J262" s="246">
        <f>SpectralData!W96</f>
        <v>0.80824703978000001</v>
      </c>
      <c r="K262" s="246">
        <f>SpectralData!X96</f>
        <v>0.803127181999999</v>
      </c>
      <c r="L262" s="246">
        <f>SpectralData!Y96</f>
        <v>0.878023656213333</v>
      </c>
      <c r="M262" s="246">
        <f>SpectralData!Z96</f>
        <v>0.82573203023999997</v>
      </c>
    </row>
    <row r="263" spans="1:14">
      <c r="A263" s="232">
        <v>815</v>
      </c>
      <c r="B263" s="246">
        <f>SpectralData!O97</f>
        <v>0.892061986286666</v>
      </c>
      <c r="C263" s="246">
        <f>SpectralData!P97</f>
        <v>0.86194163514</v>
      </c>
      <c r="D263" s="246">
        <f>SpectralData!Q97</f>
        <v>0.84094465637999904</v>
      </c>
      <c r="E263" s="246">
        <f>SpectralData!R97</f>
        <v>0.81577815247333296</v>
      </c>
      <c r="F263" s="246">
        <f>SpectralData!S97</f>
        <v>0.78841571554000001</v>
      </c>
      <c r="G263" s="246">
        <f>SpectralData!T97</f>
        <v>0.80147059631999995</v>
      </c>
      <c r="H263" s="246">
        <f>SpectralData!U97</f>
        <v>0.82364647929333301</v>
      </c>
      <c r="I263" s="246">
        <f>SpectralData!V97</f>
        <v>0.84560389709999895</v>
      </c>
      <c r="J263" s="246">
        <f>SpectralData!W97</f>
        <v>0.82312591044000005</v>
      </c>
      <c r="K263" s="246">
        <f>SpectralData!X97</f>
        <v>0.81766145324666595</v>
      </c>
      <c r="L263" s="246">
        <f>SpectralData!Y97</f>
        <v>0.88154662069333301</v>
      </c>
      <c r="M263" s="246">
        <f>SpectralData!Z97</f>
        <v>0.83658799234666603</v>
      </c>
    </row>
    <row r="264" spans="1:14">
      <c r="A264" s="232">
        <v>820</v>
      </c>
      <c r="B264" s="246">
        <f>SpectralData!O98</f>
        <v>0.89299467975333302</v>
      </c>
      <c r="C264" s="246">
        <f>SpectralData!P98</f>
        <v>0.86839543659999996</v>
      </c>
      <c r="D264" s="246">
        <f>SpectralData!Q98</f>
        <v>0.8509211324</v>
      </c>
      <c r="E264" s="246">
        <f>SpectralData!R98</f>
        <v>0.82938671874666603</v>
      </c>
      <c r="F264" s="246">
        <f>SpectralData!S98</f>
        <v>0.80514570618666603</v>
      </c>
      <c r="G264" s="246">
        <f>SpectralData!T98</f>
        <v>0.81658053587333301</v>
      </c>
      <c r="H264" s="246">
        <f>SpectralData!U98</f>
        <v>0.83683139037999899</v>
      </c>
      <c r="I264" s="246">
        <f>SpectralData!V98</f>
        <v>0.85464334105999995</v>
      </c>
      <c r="J264" s="246">
        <f>SpectralData!W98</f>
        <v>0.83547914632666598</v>
      </c>
      <c r="K264" s="246">
        <f>SpectralData!X98</f>
        <v>0.83159161377999902</v>
      </c>
      <c r="L264" s="246">
        <f>SpectralData!Y98</f>
        <v>0.88542614746666604</v>
      </c>
      <c r="M264" s="246">
        <f>SpectralData!Z98</f>
        <v>0.84671097819999896</v>
      </c>
    </row>
    <row r="265" spans="1:14">
      <c r="A265" s="232">
        <v>825</v>
      </c>
      <c r="B265" s="246">
        <f>SpectralData!O99</f>
        <v>0.89446643574666596</v>
      </c>
      <c r="C265" s="246">
        <f>SpectralData!P99</f>
        <v>0.87391097514000005</v>
      </c>
      <c r="D265" s="246">
        <f>SpectralData!Q99</f>
        <v>0.85925597635333295</v>
      </c>
      <c r="E265" s="246">
        <f>SpectralData!R99</f>
        <v>0.84082629394666597</v>
      </c>
      <c r="F265" s="246">
        <f>SpectralData!S99</f>
        <v>0.81972662352666603</v>
      </c>
      <c r="G265" s="246">
        <f>SpectralData!T99</f>
        <v>0.829851470946666</v>
      </c>
      <c r="H265" s="246">
        <f>SpectralData!U99</f>
        <v>0.84737889608000005</v>
      </c>
      <c r="I265" s="246">
        <f>SpectralData!V99</f>
        <v>0.86230319213999995</v>
      </c>
      <c r="J265" s="246">
        <f>SpectralData!W99</f>
        <v>0.84583851623333295</v>
      </c>
      <c r="K265" s="246">
        <f>SpectralData!X99</f>
        <v>0.84291382853999897</v>
      </c>
      <c r="L265" s="246">
        <f>SpectralData!Y99</f>
        <v>0.88833179219999903</v>
      </c>
      <c r="M265" s="246">
        <f>SpectralData!Z99</f>
        <v>0.85517113747999896</v>
      </c>
    </row>
    <row r="266" spans="1:14">
      <c r="A266" s="232">
        <v>830</v>
      </c>
      <c r="B266" s="246">
        <f>SpectralData!O100</f>
        <v>0.89662237548666601</v>
      </c>
      <c r="C266" s="246">
        <f>SpectralData!P100</f>
        <v>0.87968678284666602</v>
      </c>
      <c r="D266" s="246">
        <f>SpectralData!Q100</f>
        <v>0.86657333374000001</v>
      </c>
      <c r="E266" s="246">
        <f>SpectralData!R100</f>
        <v>0.85137693786000002</v>
      </c>
      <c r="F266" s="246">
        <f>SpectralData!S100</f>
        <v>0.83276146441999899</v>
      </c>
      <c r="G266" s="246">
        <f>SpectralData!T100</f>
        <v>0.84148995463333298</v>
      </c>
      <c r="H266" s="246">
        <f>SpectralData!U100</f>
        <v>0.85699354552666596</v>
      </c>
      <c r="I266" s="246">
        <f>SpectralData!V100</f>
        <v>0.86984436543999999</v>
      </c>
      <c r="J266" s="246">
        <f>SpectralData!W100</f>
        <v>0.85491087850000003</v>
      </c>
      <c r="K266" s="246">
        <f>SpectralData!X100</f>
        <v>0.85307243856000003</v>
      </c>
      <c r="L266" s="246">
        <f>SpectralData!Y100</f>
        <v>0.89148511759333304</v>
      </c>
      <c r="M266" s="246">
        <f>SpectralData!Z100</f>
        <v>0.86258838399333304</v>
      </c>
    </row>
    <row r="267" spans="1:14">
      <c r="C267" s="247"/>
      <c r="D267" s="247"/>
      <c r="E267" s="247"/>
      <c r="F267" s="247"/>
      <c r="G267" s="247"/>
      <c r="H267" s="247"/>
      <c r="I267" s="247"/>
      <c r="J267" s="247"/>
      <c r="K267" s="247"/>
      <c r="L267" s="275"/>
      <c r="M267" s="247"/>
      <c r="N267" s="247"/>
    </row>
    <row r="268" spans="1:14"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</row>
    <row r="269" spans="1:14"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</row>
    <row r="270" spans="1:14" ht="12.75" customHeight="1">
      <c r="A270" s="273"/>
      <c r="B270" s="274"/>
      <c r="C270" s="274"/>
      <c r="D270" s="274"/>
      <c r="E270" s="274"/>
      <c r="F270" s="274"/>
      <c r="G270" s="274"/>
      <c r="H270" s="274"/>
      <c r="I270" s="274"/>
      <c r="J270" s="274"/>
      <c r="K270" s="274"/>
      <c r="L270" s="274"/>
      <c r="M270" s="274"/>
      <c r="N270" s="274"/>
    </row>
    <row r="271" spans="1:14">
      <c r="C271" s="248" t="str">
        <f>$C$67</f>
        <v>IAM-9C Cal Data Report rev 2-01.xls</v>
      </c>
      <c r="D271" s="248"/>
      <c r="E271" s="248"/>
      <c r="F271" s="248"/>
      <c r="G271" s="248"/>
      <c r="H271" s="248" t="str">
        <f>$H$67</f>
        <v>Copyright 2019, Applied Image, Inc.</v>
      </c>
      <c r="I271" s="248"/>
      <c r="J271" s="248"/>
      <c r="K271" s="248"/>
      <c r="L271" s="224" t="s">
        <v>189</v>
      </c>
      <c r="M271" s="224"/>
      <c r="N271" s="224"/>
    </row>
  </sheetData>
  <sheetProtection algorithmName="SHA-512" hashValue="7296L7CALKz/n1K2B5PGYKilXxC7tMflDuVs5hsWzNL5YsCu0FQ0cZ4qRlO25uhoS0WbuAUX5ywUIvU0RBzQgg==" saltValue="9d4FfmsgiyXzJ71tW4lIjA==" spinCount="100000" sheet="1" objects="1" scenarios="1"/>
  <mergeCells count="8">
    <mergeCell ref="J6:M6"/>
    <mergeCell ref="F204:G204"/>
    <mergeCell ref="K8:L8"/>
    <mergeCell ref="E14:J14"/>
    <mergeCell ref="E9:F9"/>
    <mergeCell ref="F69:G69"/>
    <mergeCell ref="F136:G136"/>
    <mergeCell ref="E15:J15"/>
  </mergeCells>
  <conditionalFormatting sqref="B21:N60">
    <cfRule type="cellIs" dxfId="6" priority="11" operator="greaterThan">
      <formula>2</formula>
    </cfRule>
  </conditionalFormatting>
  <conditionalFormatting sqref="B73:N131">
    <cfRule type="cellIs" dxfId="5" priority="10" operator="greaterThan">
      <formula>2</formula>
    </cfRule>
  </conditionalFormatting>
  <conditionalFormatting sqref="B144:M183">
    <cfRule type="cellIs" dxfId="4" priority="9" operator="greaterThan">
      <formula>2</formula>
    </cfRule>
  </conditionalFormatting>
  <conditionalFormatting sqref="B208:M266">
    <cfRule type="cellIs" dxfId="3" priority="8" operator="greaterThan">
      <formula>2</formula>
    </cfRule>
  </conditionalFormatting>
  <conditionalFormatting sqref="E14:J14">
    <cfRule type="cellIs" dxfId="2" priority="2" operator="equal">
      <formula>"Agreement Errors!"</formula>
    </cfRule>
    <cfRule type="cellIs" dxfId="1" priority="3" operator="equal">
      <formula>"""bad"""</formula>
    </cfRule>
  </conditionalFormatting>
  <conditionalFormatting sqref="E15:J15">
    <cfRule type="expression" dxfId="0" priority="1">
      <formula>$E$15="Part Loaded Backwards!"</formula>
    </cfRule>
  </conditionalFormatting>
  <pageMargins left="0.7" right="0.7" top="0.25" bottom="0.25" header="0" footer="0"/>
  <pageSetup scale="77" fitToHeight="0" orientation="portrait" r:id="rId1"/>
  <rowBreaks count="3" manualBreakCount="3">
    <brk id="67" max="16383" man="1"/>
    <brk id="135" max="16383" man="1"/>
    <brk id="203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AI117"/>
  <sheetViews>
    <sheetView zoomScale="85" zoomScaleNormal="85" workbookViewId="0">
      <selection activeCell="Q5" sqref="Q5"/>
    </sheetView>
  </sheetViews>
  <sheetFormatPr defaultColWidth="10.875" defaultRowHeight="11.4"/>
  <cols>
    <col min="1" max="1" width="3.875" style="5" customWidth="1"/>
    <col min="2" max="4" width="10.875" style="112"/>
    <col min="5" max="5" width="3.875" style="2" customWidth="1"/>
    <col min="6" max="7" width="10.875" style="2"/>
    <col min="8" max="8" width="11.75" style="2" bestFit="1" customWidth="1"/>
    <col min="9" max="10" width="10.875" style="2"/>
    <col min="11" max="11" width="12.25" style="3" customWidth="1"/>
    <col min="12" max="12" width="10.875" style="3"/>
    <col min="13" max="19" width="10.875" style="4"/>
    <col min="20" max="21" width="10.875" style="5"/>
    <col min="22" max="22" width="18.375" style="5" customWidth="1"/>
    <col min="23" max="23" width="12.625" style="5" customWidth="1"/>
    <col min="24" max="24" width="10" style="5" customWidth="1"/>
    <col min="25" max="25" width="10.875" style="5" customWidth="1"/>
    <col min="26" max="26" width="12.75" style="5" customWidth="1"/>
    <col min="27" max="27" width="11.125" style="5" customWidth="1"/>
    <col min="28" max="28" width="9.25" style="5" customWidth="1"/>
    <col min="29" max="30" width="9.75" style="5" customWidth="1"/>
    <col min="31" max="31" width="11" style="5" customWidth="1"/>
    <col min="32" max="32" width="8" style="5" customWidth="1"/>
    <col min="33" max="33" width="7.375" style="5" customWidth="1"/>
    <col min="34" max="34" width="6.75" style="5" customWidth="1"/>
    <col min="35" max="35" width="6.625" style="5" customWidth="1"/>
    <col min="36" max="16384" width="10.875" style="5"/>
  </cols>
  <sheetData>
    <row r="1" spans="2:35" ht="13.8">
      <c r="B1" s="259" t="s">
        <v>191</v>
      </c>
      <c r="L1" s="5"/>
    </row>
    <row r="2" spans="2:35" ht="15.6">
      <c r="B2" s="260" t="s">
        <v>192</v>
      </c>
      <c r="L2" s="1"/>
    </row>
    <row r="3" spans="2:35" ht="15.6">
      <c r="B3" s="260" t="s">
        <v>203</v>
      </c>
    </row>
    <row r="4" spans="2:35" ht="15.6">
      <c r="B4" s="261" t="s">
        <v>204</v>
      </c>
      <c r="C4" s="5"/>
    </row>
    <row r="5" spans="2:35" ht="15.6">
      <c r="B5" s="261" t="s">
        <v>193</v>
      </c>
      <c r="C5" s="1"/>
    </row>
    <row r="6" spans="2:35">
      <c r="B6" s="5"/>
    </row>
    <row r="7" spans="2:35" ht="15.6">
      <c r="B7" s="260" t="s">
        <v>199</v>
      </c>
    </row>
    <row r="9" spans="2:35" ht="12" thickBot="1"/>
    <row r="10" spans="2:35" ht="12.6" thickBot="1">
      <c r="B10" s="294" t="s">
        <v>46</v>
      </c>
      <c r="C10" s="295"/>
      <c r="E10" s="5"/>
      <c r="F10" s="11" t="s">
        <v>45</v>
      </c>
      <c r="G10" s="86" t="s">
        <v>31</v>
      </c>
      <c r="H10" s="14" t="s">
        <v>35</v>
      </c>
      <c r="I10" s="86" t="s">
        <v>36</v>
      </c>
      <c r="J10" s="14" t="s">
        <v>37</v>
      </c>
      <c r="K10" s="86" t="s">
        <v>38</v>
      </c>
      <c r="L10" s="14" t="s">
        <v>44</v>
      </c>
      <c r="M10" s="86" t="s">
        <v>39</v>
      </c>
      <c r="N10" s="86" t="s">
        <v>40</v>
      </c>
      <c r="O10" s="14" t="s">
        <v>41</v>
      </c>
      <c r="P10" s="86" t="s">
        <v>48</v>
      </c>
      <c r="Q10" s="14" t="s">
        <v>49</v>
      </c>
      <c r="R10" s="86" t="s">
        <v>42</v>
      </c>
      <c r="S10" s="14" t="s">
        <v>43</v>
      </c>
      <c r="T10" s="86" t="s">
        <v>50</v>
      </c>
      <c r="U10" s="12" t="s">
        <v>51</v>
      </c>
      <c r="W10" s="5" t="s">
        <v>57</v>
      </c>
      <c r="X10" s="5" t="s">
        <v>58</v>
      </c>
      <c r="Y10" s="5" t="s">
        <v>59</v>
      </c>
      <c r="Z10" s="5" t="s">
        <v>60</v>
      </c>
      <c r="AA10" s="5" t="s">
        <v>61</v>
      </c>
      <c r="AB10" s="5" t="s">
        <v>62</v>
      </c>
      <c r="AC10" s="5" t="s">
        <v>63</v>
      </c>
      <c r="AD10" s="5" t="s">
        <v>64</v>
      </c>
      <c r="AE10" s="5" t="s">
        <v>65</v>
      </c>
      <c r="AF10" s="5" t="s">
        <v>66</v>
      </c>
      <c r="AG10" s="5" t="s">
        <v>67</v>
      </c>
      <c r="AH10" s="5" t="s">
        <v>68</v>
      </c>
      <c r="AI10" s="5" t="s">
        <v>69</v>
      </c>
    </row>
    <row r="11" spans="2:35" s="30" customFormat="1" ht="12.6" thickBot="1">
      <c r="B11" s="296" t="s">
        <v>47</v>
      </c>
      <c r="C11" s="297"/>
      <c r="D11" s="115" t="s">
        <v>121</v>
      </c>
      <c r="F11" s="116" t="s">
        <v>33</v>
      </c>
      <c r="G11" s="117" t="s">
        <v>6</v>
      </c>
      <c r="H11" s="118">
        <f>SUMPRODUCT(Sample,xObs2,Illuminant_A)/SUMPRODUCT(yObs2,Illuminant_A)</f>
        <v>0.697661753959117</v>
      </c>
      <c r="I11" s="119">
        <f>SUMPRODUCT(Sample,yObs2,Illuminant_A)/SUMPRODUCT(yObs2,Illuminant_A)</f>
        <v>0.64297245162489558</v>
      </c>
      <c r="J11" s="118">
        <f>SUMPRODUCT(Sample,zObs2,Illuminant_A)/SUMPRODUCT(yObs2,Illuminant_A)</f>
        <v>0.23254352435963629</v>
      </c>
      <c r="K11" s="119">
        <f>H11/(H11+I11+J11)</f>
        <v>0.44347294058383802</v>
      </c>
      <c r="L11" s="118">
        <f>I11/(H11+I11+J11)</f>
        <v>0.40870935266031688</v>
      </c>
      <c r="M11" s="120">
        <f t="shared" ref="M11:M30" si="0">116*AA11-16</f>
        <v>84.120292833369462</v>
      </c>
      <c r="N11" s="120">
        <f t="shared" ref="N11:N30" si="1">500*(Z11-AA11)</f>
        <v>-1.7598467525050121</v>
      </c>
      <c r="O11" s="121">
        <f t="shared" ref="O11:O30" si="2">200*(AA11-AB11)</f>
        <v>-0.91542794331849198</v>
      </c>
      <c r="P11" s="120">
        <f t="shared" ref="P11:P30" si="3">SQRT(N11*N11+O11*O11)</f>
        <v>1.9837008120456978</v>
      </c>
      <c r="Q11" s="121">
        <f t="shared" ref="Q11:Q30" si="4">IF(ATAN2(N11,O11)&lt;0,360+(180*ATAN2(N11,O11))/PI(),(180*ATAN2(N11,O11))/PI())</f>
        <v>207.48231492078628</v>
      </c>
      <c r="R11" s="120">
        <f t="shared" ref="R11:R30" si="5">13*M11*(AF11-AH11)</f>
        <v>-3.469825382111726</v>
      </c>
      <c r="S11" s="121">
        <f t="shared" ref="S11:S30" si="6">13*M11*(AG11-AI11)</f>
        <v>-0.12344397363322542</v>
      </c>
      <c r="T11" s="120">
        <f t="shared" ref="T11:T30" si="7">SQRT(R11*R11+S11*S11)</f>
        <v>3.4720205352176627</v>
      </c>
      <c r="U11" s="122">
        <f t="shared" ref="U11:U30" si="8">IF(ATAN2(R11,S11)&lt;0,360+(180*ATAN2(R11,S11))/PI(),(180*ATAN2(R11,S11))/PI())</f>
        <v>182.03751952953868</v>
      </c>
      <c r="V11" s="5"/>
      <c r="W11" s="5">
        <f t="shared" ref="W11:W30" si="9">H11/AC11</f>
        <v>0.63513847781572108</v>
      </c>
      <c r="X11" s="5">
        <f t="shared" ref="X11:X30" si="10">I11/AD11</f>
        <v>0.64297245162489558</v>
      </c>
      <c r="Y11" s="5">
        <f t="shared" ref="Y11:Y30" si="11">J11/AE11</f>
        <v>0.65325604132735082</v>
      </c>
      <c r="Z11" s="5">
        <f t="shared" ref="Z11:Z30" si="12">IF(W11&gt;epsilon,POWER(W11,1/3),(kappa*W11+16)/116)</f>
        <v>0.85958627919645081</v>
      </c>
      <c r="AA11" s="5">
        <f t="shared" ref="AA11:AA30" si="13">IF(X11&gt;epsilon,POWER(X11,1/3),(kappa*X11+16)/116)</f>
        <v>0.86310597270146083</v>
      </c>
      <c r="AB11" s="5">
        <f t="shared" ref="AB11:AB30" si="14">IF(Y11&gt;epsilon,POWER(Y11,1/3),(kappa*Y11+16)/116)</f>
        <v>0.86768311241805329</v>
      </c>
      <c r="AC11" s="5">
        <f>SUMPRODUCT(xObs2,Illuminant_A)/SUMPRODUCT(yObs2,Illuminant_A)</f>
        <v>1.0984403847778474</v>
      </c>
      <c r="AD11" s="5">
        <f>SUMPRODUCT(yObs2,Illuminant_A)/SUMPRODUCT(yObs2,Illuminant_A)</f>
        <v>1</v>
      </c>
      <c r="AE11" s="5">
        <f>SUMPRODUCT(zObs2,Illuminant_A)/SUMPRODUCT(yObs2,Illuminant_A)</f>
        <v>0.35597607928298858</v>
      </c>
      <c r="AF11" s="5">
        <f t="shared" ref="AF11:AF30" si="15">(4*H11)/(H11+15*I11+3*J11)</f>
        <v>0.25277876598120363</v>
      </c>
      <c r="AG11" s="5">
        <f t="shared" ref="AG11:AG30" si="16">(9*I11)/(H11+15*I11+3*J11)</f>
        <v>0.52416806483725153</v>
      </c>
      <c r="AH11" s="5">
        <f t="shared" ref="AH11:AH30" si="17">(4*AC11)/(AC11+15*AD11+3*AE11)</f>
        <v>0.2559517179026447</v>
      </c>
      <c r="AI11" s="5">
        <f t="shared" ref="AI11:AI30" si="18">(9*AD11)/(AC11+15*AD11+3*AE11)</f>
        <v>0.52428094711523276</v>
      </c>
    </row>
    <row r="12" spans="2:35" s="30" customFormat="1" ht="12">
      <c r="B12" s="123" t="s">
        <v>52</v>
      </c>
      <c r="C12" s="181">
        <v>5000</v>
      </c>
      <c r="D12" s="115" t="s">
        <v>116</v>
      </c>
      <c r="F12" s="116"/>
      <c r="G12" s="117" t="s">
        <v>7</v>
      </c>
      <c r="H12" s="118">
        <f>SUMPRODUCT(Sample,xObs2,Illuminant_B)/SUMPRODUCT(yObs2,Illuminant_B)</f>
        <v>0.63009532915733468</v>
      </c>
      <c r="I12" s="119">
        <f>SUMPRODUCT(Sample,yObs2,Illuminant_B)/SUMPRODUCT(yObs2,Illuminant_B)</f>
        <v>0.64639641138039561</v>
      </c>
      <c r="J12" s="118">
        <f>SUMPRODUCT(Sample,zObs2,Illuminant_B)/SUMPRODUCT(yObs2,Illuminant_B)</f>
        <v>0.55194614438385114</v>
      </c>
      <c r="K12" s="119">
        <f>H12/(H12+I12+J12)</f>
        <v>0.34460855047551064</v>
      </c>
      <c r="L12" s="118">
        <f>I12/(H12+I12+J12)</f>
        <v>0.35352385591601238</v>
      </c>
      <c r="M12" s="120">
        <f t="shared" si="0"/>
        <v>84.297698640349566</v>
      </c>
      <c r="N12" s="120">
        <f t="shared" si="1"/>
        <v>-2.3643725651233405</v>
      </c>
      <c r="O12" s="121">
        <f t="shared" si="2"/>
        <v>-4.6777378968276828E-2</v>
      </c>
      <c r="P12" s="120">
        <f t="shared" si="3"/>
        <v>2.3648352479382293</v>
      </c>
      <c r="Q12" s="121">
        <f t="shared" si="4"/>
        <v>181.13340715758301</v>
      </c>
      <c r="R12" s="120">
        <f t="shared" si="5"/>
        <v>-3.6458418593343538</v>
      </c>
      <c r="S12" s="121">
        <f t="shared" si="6"/>
        <v>0.40420452252220102</v>
      </c>
      <c r="T12" s="120">
        <f t="shared" si="7"/>
        <v>3.6681799518701341</v>
      </c>
      <c r="U12" s="122">
        <f t="shared" si="8"/>
        <v>173.67360948588242</v>
      </c>
      <c r="V12" s="5"/>
      <c r="W12" s="5">
        <f t="shared" si="9"/>
        <v>0.63584875991339085</v>
      </c>
      <c r="X12" s="5">
        <f t="shared" si="10"/>
        <v>0.64639641138039561</v>
      </c>
      <c r="Y12" s="5">
        <f t="shared" si="11"/>
        <v>0.64692111078753245</v>
      </c>
      <c r="Z12" s="5">
        <f t="shared" si="12"/>
        <v>0.85990658797621511</v>
      </c>
      <c r="AA12" s="5">
        <f t="shared" si="13"/>
        <v>0.86463533310646179</v>
      </c>
      <c r="AB12" s="5">
        <f t="shared" si="14"/>
        <v>0.86486922000130317</v>
      </c>
      <c r="AC12" s="5">
        <f>SUMPRODUCT(xObs2,Illuminant_B)/SUMPRODUCT(yObs2,Illuminant_B)</f>
        <v>0.99095157352065955</v>
      </c>
      <c r="AD12" s="5">
        <f>SUMPRODUCT(yObs2,Illuminant_B)/SUMPRODUCT(yObs2,Illuminant_B)</f>
        <v>1</v>
      </c>
      <c r="AE12" s="5">
        <f>SUMPRODUCT(zObs2,Illuminant_B)/SUMPRODUCT(yObs2,Illuminant_B)</f>
        <v>0.85318926091612146</v>
      </c>
      <c r="AF12" s="5">
        <f t="shared" si="15"/>
        <v>0.21034940516176351</v>
      </c>
      <c r="AG12" s="5">
        <f t="shared" si="16"/>
        <v>0.48553046224356322</v>
      </c>
      <c r="AH12" s="5">
        <f t="shared" si="17"/>
        <v>0.21367629757185727</v>
      </c>
      <c r="AI12" s="5">
        <f t="shared" si="18"/>
        <v>0.48516161877476005</v>
      </c>
    </row>
    <row r="13" spans="2:35" s="30" customFormat="1" ht="12.6" thickBot="1">
      <c r="B13" s="90" t="s">
        <v>14</v>
      </c>
      <c r="C13" s="182">
        <v>5000</v>
      </c>
      <c r="F13" s="116"/>
      <c r="G13" s="117" t="s">
        <v>8</v>
      </c>
      <c r="H13" s="118">
        <f>SUMPRODUCT(Sample,xObs2,Illuminant_C)/SUMPRODUCT(yObs2,Illuminant_C)</f>
        <v>0.62356701352111155</v>
      </c>
      <c r="I13" s="119">
        <f>SUMPRODUCT(Sample,yObs2,Illuminant_C)/SUMPRODUCT(yObs2,Illuminant_C)</f>
        <v>0.64781193314522068</v>
      </c>
      <c r="J13" s="118">
        <f>SUMPRODUCT(Sample,zObs2,Illuminant_C)/SUMPRODUCT(yObs2,Illuminant_C)</f>
        <v>0.76176683894165476</v>
      </c>
      <c r="K13" s="119">
        <f>H13/(H13+I13+J13)</f>
        <v>0.30670059074718126</v>
      </c>
      <c r="L13" s="118">
        <f>I13/(H13+I13+J13)</f>
        <v>0.31862542161554863</v>
      </c>
      <c r="M13" s="120">
        <f t="shared" si="0"/>
        <v>84.370858115660369</v>
      </c>
      <c r="N13" s="120">
        <f t="shared" si="1"/>
        <v>-2.6865544468100966</v>
      </c>
      <c r="O13" s="121">
        <f t="shared" si="2"/>
        <v>0.3137520859841425</v>
      </c>
      <c r="P13" s="120">
        <f t="shared" si="3"/>
        <v>2.7048133331404784</v>
      </c>
      <c r="Q13" s="121">
        <f t="shared" si="4"/>
        <v>173.33882665277636</v>
      </c>
      <c r="R13" s="120">
        <f t="shared" si="5"/>
        <v>-3.6642138442688883</v>
      </c>
      <c r="S13" s="121">
        <f t="shared" si="6"/>
        <v>0.97039799573612617</v>
      </c>
      <c r="T13" s="120">
        <f t="shared" si="7"/>
        <v>3.7905323328868303</v>
      </c>
      <c r="U13" s="122">
        <f t="shared" si="8"/>
        <v>165.16681247608707</v>
      </c>
      <c r="V13" s="5"/>
      <c r="W13" s="5">
        <f t="shared" si="9"/>
        <v>0.63581841684157703</v>
      </c>
      <c r="X13" s="5">
        <f t="shared" si="10"/>
        <v>0.64781193314522068</v>
      </c>
      <c r="Y13" s="5">
        <f t="shared" si="11"/>
        <v>0.64429479403151046</v>
      </c>
      <c r="Z13" s="5">
        <f t="shared" si="12"/>
        <v>0.8598929093448312</v>
      </c>
      <c r="AA13" s="5">
        <f t="shared" si="13"/>
        <v>0.8652660182384514</v>
      </c>
      <c r="AB13" s="5">
        <f t="shared" si="14"/>
        <v>0.86369725780853068</v>
      </c>
      <c r="AC13" s="5">
        <f>SUMPRODUCT(xObs2,Illuminant_C)/SUMPRODUCT(yObs2,Illuminant_C)</f>
        <v>0.98073128585780167</v>
      </c>
      <c r="AD13" s="5">
        <f>SUMPRODUCT(yObs2,Illuminant_C)/SUMPRODUCT(yObs2,Illuminant_C)</f>
        <v>1</v>
      </c>
      <c r="AE13" s="5">
        <f>SUMPRODUCT(zObs2,Illuminant_C)/SUMPRODUCT(yObs2,Illuminant_C)</f>
        <v>1.1823265467893864</v>
      </c>
      <c r="AF13" s="5">
        <f t="shared" si="15"/>
        <v>0.19754941094562103</v>
      </c>
      <c r="AG13" s="5">
        <f t="shared" si="16"/>
        <v>0.46176824911876402</v>
      </c>
      <c r="AH13" s="5">
        <f t="shared" si="17"/>
        <v>0.20089016875821677</v>
      </c>
      <c r="AI13" s="5">
        <f t="shared" si="18"/>
        <v>0.46088351235847552</v>
      </c>
    </row>
    <row r="14" spans="2:35" s="30" customFormat="1" ht="12.6" thickBot="1">
      <c r="F14" s="116"/>
      <c r="G14" s="117" t="s">
        <v>13</v>
      </c>
      <c r="H14" s="118">
        <f>SUMPRODUCT(Sample,xObs2,Illuminant_D)/SUMPRODUCT(yObs2,Illuminant_D)</f>
        <v>0.61341198034187649</v>
      </c>
      <c r="I14" s="119">
        <f>SUMPRODUCT(Sample,yObs2,Illuminant_D)/SUMPRODUCT(yObs2,Illuminant_D)</f>
        <v>0.6468948183915525</v>
      </c>
      <c r="J14" s="118">
        <f>SUMPRODUCT(Sample,zObs2,Illuminant_D)/SUMPRODUCT(yObs2,Illuminant_D)</f>
        <v>0.53428259115623378</v>
      </c>
      <c r="K14" s="119">
        <f>H14/(H14+I14+J14)</f>
        <v>0.34181188398733986</v>
      </c>
      <c r="L14" s="118">
        <f>I14/(H14+I14+J14)</f>
        <v>0.36046954363823897</v>
      </c>
      <c r="M14" s="120">
        <f t="shared" si="0"/>
        <v>84.323470356034477</v>
      </c>
      <c r="N14" s="120">
        <f t="shared" si="1"/>
        <v>-2.4090320173967283</v>
      </c>
      <c r="O14" s="121">
        <f t="shared" si="2"/>
        <v>-8.6408815902938585E-2</v>
      </c>
      <c r="P14" s="120">
        <f t="shared" si="3"/>
        <v>2.4105812046700064</v>
      </c>
      <c r="Q14" s="121">
        <f t="shared" si="4"/>
        <v>182.0542437245295</v>
      </c>
      <c r="R14" s="120">
        <f t="shared" si="5"/>
        <v>-3.6604137183633294</v>
      </c>
      <c r="S14" s="121">
        <f t="shared" si="6"/>
        <v>0.35765529391011469</v>
      </c>
      <c r="T14" s="120">
        <f t="shared" si="7"/>
        <v>3.6778452793509935</v>
      </c>
      <c r="U14" s="122">
        <f t="shared" si="8"/>
        <v>174.41940219421213</v>
      </c>
      <c r="V14" s="5"/>
      <c r="W14" s="5">
        <f t="shared" si="9"/>
        <v>0.63614351134277014</v>
      </c>
      <c r="X14" s="5">
        <f t="shared" si="10"/>
        <v>0.6468948183915525</v>
      </c>
      <c r="Y14" s="5">
        <f t="shared" si="11"/>
        <v>0.64786478182890261</v>
      </c>
      <c r="Z14" s="5">
        <f t="shared" si="12"/>
        <v>0.86003943903446922</v>
      </c>
      <c r="AA14" s="5">
        <f t="shared" si="13"/>
        <v>0.86485750306926268</v>
      </c>
      <c r="AB14" s="5">
        <f t="shared" si="14"/>
        <v>0.86528954714877737</v>
      </c>
      <c r="AC14" s="5">
        <f>SUMPRODUCT(xObs2,Illuminant_D)/SUMPRODUCT(yObs2,Illuminant_D)</f>
        <v>0.96426666216729628</v>
      </c>
      <c r="AD14" s="5">
        <f>SUMPRODUCT(yObs2,Illuminant_D)/SUMPRODUCT(yObs2,Illuminant_D)</f>
        <v>1</v>
      </c>
      <c r="AE14" s="5">
        <f>SUMPRODUCT(zObs2,Illuminant_D)/SUMPRODUCT(yObs2,Illuminant_D)</f>
        <v>0.82468225799829742</v>
      </c>
      <c r="AF14" s="5">
        <f t="shared" si="15"/>
        <v>0.20584843750505499</v>
      </c>
      <c r="AG14" s="5">
        <f t="shared" si="16"/>
        <v>0.48844032508796592</v>
      </c>
      <c r="AH14" s="5">
        <f t="shared" si="17"/>
        <v>0.20918760612369805</v>
      </c>
      <c r="AI14" s="5">
        <f t="shared" si="18"/>
        <v>0.48811405832535248</v>
      </c>
    </row>
    <row r="15" spans="2:35" s="30" customFormat="1" ht="12">
      <c r="B15" s="6" t="s">
        <v>26</v>
      </c>
      <c r="C15" s="124" t="s">
        <v>15</v>
      </c>
      <c r="D15" s="113" t="s">
        <v>30</v>
      </c>
      <c r="F15" s="116"/>
      <c r="G15" s="117" t="s">
        <v>9</v>
      </c>
      <c r="H15" s="118">
        <f>SUMPRODUCT(Sample,xObs2,Illuminant_E)/SUMPRODUCT(yObs2,Illuminant_E)</f>
        <v>0.63479307072278679</v>
      </c>
      <c r="I15" s="119">
        <f>SUMPRODUCT(Sample,yObs2,Illuminant_E)/SUMPRODUCT(yObs2,Illuminant_E)</f>
        <v>0.64705572679234669</v>
      </c>
      <c r="J15" s="118">
        <f>SUMPRODUCT(Sample,zObs2,Illuminant_E)/SUMPRODUCT(yObs2,Illuminant_E)</f>
        <v>0.63971228289848237</v>
      </c>
      <c r="K15" s="119">
        <f>H15/(H15+I15+J15)</f>
        <v>0.33035279346215091</v>
      </c>
      <c r="L15" s="118">
        <f>I15/(H15+I15+J15)</f>
        <v>0.3367344048480978</v>
      </c>
      <c r="M15" s="120">
        <f t="shared" si="0"/>
        <v>84.331787808601291</v>
      </c>
      <c r="N15" s="120">
        <f t="shared" si="1"/>
        <v>-2.760997309226576</v>
      </c>
      <c r="O15" s="121">
        <f t="shared" si="2"/>
        <v>0.67639734388056372</v>
      </c>
      <c r="P15" s="120">
        <f t="shared" si="3"/>
        <v>2.8426430497628568</v>
      </c>
      <c r="Q15" s="121">
        <f t="shared" si="4"/>
        <v>166.23461936420898</v>
      </c>
      <c r="R15" s="120">
        <f t="shared" si="5"/>
        <v>-3.7460336168533903</v>
      </c>
      <c r="S15" s="121">
        <f t="shared" si="6"/>
        <v>1.482656631351656</v>
      </c>
      <c r="T15" s="120">
        <f t="shared" si="7"/>
        <v>4.0287763086434492</v>
      </c>
      <c r="U15" s="122">
        <f t="shared" si="8"/>
        <v>158.40665113181481</v>
      </c>
      <c r="V15" s="5"/>
      <c r="W15" s="5">
        <f t="shared" si="9"/>
        <v>0.63474162534338185</v>
      </c>
      <c r="X15" s="5">
        <f t="shared" si="10"/>
        <v>0.64705572679234669</v>
      </c>
      <c r="Y15" s="5">
        <f t="shared" si="11"/>
        <v>0.6394951483956669</v>
      </c>
      <c r="Z15" s="5">
        <f t="shared" si="12"/>
        <v>0.85940721062810976</v>
      </c>
      <c r="AA15" s="5">
        <f t="shared" si="13"/>
        <v>0.86492920524656292</v>
      </c>
      <c r="AB15" s="5">
        <f t="shared" si="14"/>
        <v>0.8615472185271601</v>
      </c>
      <c r="AC15" s="5">
        <f>SUMPRODUCT(xObs2,Illuminant_E)/SUMPRODUCT(yObs2,Illuminant_E)</f>
        <v>1.0000810493236159</v>
      </c>
      <c r="AD15" s="5">
        <f>SUMPRODUCT(yObs2,Illuminant_E)/SUMPRODUCT(yObs2,Illuminant_E)</f>
        <v>1</v>
      </c>
      <c r="AE15" s="5">
        <f>SUMPRODUCT(zObs2,Illuminant_E)/SUMPRODUCT(yObs2,Illuminant_E)</f>
        <v>1.0003395405005968</v>
      </c>
      <c r="AF15" s="5">
        <f t="shared" si="15"/>
        <v>0.20711425649574011</v>
      </c>
      <c r="AG15" s="5">
        <f t="shared" si="16"/>
        <v>0.4750091988716289</v>
      </c>
      <c r="AH15" s="5">
        <f t="shared" si="17"/>
        <v>0.21053119380435786</v>
      </c>
      <c r="AI15" s="5">
        <f t="shared" si="18"/>
        <v>0.47365679649682307</v>
      </c>
    </row>
    <row r="16" spans="2:35" ht="12.6" thickBot="1">
      <c r="B16" s="16" t="s">
        <v>53</v>
      </c>
      <c r="C16" s="125" t="s">
        <v>32</v>
      </c>
      <c r="D16" s="114" t="s">
        <v>31</v>
      </c>
      <c r="E16" s="5"/>
      <c r="F16" s="189"/>
      <c r="G16" s="150" t="s">
        <v>117</v>
      </c>
      <c r="H16" s="118">
        <f>SUMPRODUCT(Sample,xObs2,Illuminant_F2)/SUMPRODUCT(yObs2,Illuminant_F2)</f>
        <v>0.63151496753063674</v>
      </c>
      <c r="I16" s="119">
        <f>SUMPRODUCT(Sample,yObs2,Illuminant_F2)/SUMPRODUCT(yObs2,Illuminant_F2)</f>
        <v>0.64285945303974235</v>
      </c>
      <c r="J16" s="118">
        <f>SUMPRODUCT(Sample,zObs2,Illuminant_F2)/SUMPRODUCT(yObs2,Illuminant_F2)</f>
        <v>0.42933070692243708</v>
      </c>
      <c r="K16" s="119">
        <f t="shared" ref="K16:K21" si="19">H16/(H16+I16+J16)</f>
        <v>0.37067151899693956</v>
      </c>
      <c r="L16" s="118">
        <f t="shared" ref="L16:L21" si="20">I16/(H16+I16+J16)</f>
        <v>0.37733023318758135</v>
      </c>
      <c r="M16" s="120">
        <f t="shared" si="0"/>
        <v>84.114427307701035</v>
      </c>
      <c r="N16" s="120">
        <f t="shared" si="1"/>
        <v>-1.3770313235905163</v>
      </c>
      <c r="O16" s="121">
        <f t="shared" si="2"/>
        <v>0.51408110378206029</v>
      </c>
      <c r="P16" s="120">
        <f t="shared" si="3"/>
        <v>1.469862118504736</v>
      </c>
      <c r="Q16" s="121">
        <f t="shared" si="4"/>
        <v>159.52810722357748</v>
      </c>
      <c r="R16" s="120">
        <f t="shared" si="5"/>
        <v>-1.9338116667931151</v>
      </c>
      <c r="S16" s="121">
        <f t="shared" si="6"/>
        <v>0.83451551670781221</v>
      </c>
      <c r="T16" s="120">
        <f t="shared" si="7"/>
        <v>2.1061917553374081</v>
      </c>
      <c r="U16" s="122">
        <f t="shared" si="8"/>
        <v>156.65790941680996</v>
      </c>
      <c r="W16" s="5">
        <f t="shared" si="9"/>
        <v>0.63672485899493303</v>
      </c>
      <c r="X16" s="5">
        <f t="shared" si="10"/>
        <v>0.64285945303974235</v>
      </c>
      <c r="Y16" s="5">
        <f t="shared" si="11"/>
        <v>0.63713273011712857</v>
      </c>
      <c r="Z16" s="5">
        <f t="shared" si="12"/>
        <v>0.86030134517782786</v>
      </c>
      <c r="AA16" s="5">
        <f t="shared" si="13"/>
        <v>0.86305540782500889</v>
      </c>
      <c r="AB16" s="5">
        <f t="shared" si="14"/>
        <v>0.86048500230609859</v>
      </c>
      <c r="AC16" s="5">
        <f>SUMPRODUCT(xObs2,Illuminant_F2)/SUMPRODUCT(yObs2,Illuminant_F2)</f>
        <v>0.99181767227916917</v>
      </c>
      <c r="AD16" s="5">
        <f>SUMPRODUCT(yObs2,Illuminant_F2)/SUMPRODUCT(yObs2,Illuminant_F2)</f>
        <v>1</v>
      </c>
      <c r="AE16" s="5">
        <f>SUMPRODUCT(zObs2,Illuminant_F2)/SUMPRODUCT(yObs2,Illuminant_F2)</f>
        <v>0.67384814282498129</v>
      </c>
      <c r="AF16" s="5">
        <f t="shared" si="15"/>
        <v>0.21847195339725203</v>
      </c>
      <c r="AG16" s="5">
        <f t="shared" si="16"/>
        <v>0.50039227460116065</v>
      </c>
      <c r="AH16" s="5">
        <f t="shared" si="17"/>
        <v>0.22024043412476513</v>
      </c>
      <c r="AI16" s="5">
        <f t="shared" si="18"/>
        <v>0.49962910586376452</v>
      </c>
    </row>
    <row r="17" spans="2:35">
      <c r="B17" s="36">
        <v>340</v>
      </c>
      <c r="C17" s="194">
        <f>HLOOKUP($N$54,SpectralData!$B$1:$Z$100,2,FALSE)</f>
        <v>-1.8814399150799899E-5</v>
      </c>
      <c r="D17" s="183">
        <v>1</v>
      </c>
      <c r="E17" s="5"/>
      <c r="F17" s="189"/>
      <c r="G17" s="150" t="s">
        <v>118</v>
      </c>
      <c r="H17" s="118">
        <f>SUMPRODUCT(Sample,xObs2,Illuminant_F7)/SUMPRODUCT(yObs2,Illuminant_F7)</f>
        <v>0.60375084847474825</v>
      </c>
      <c r="I17" s="119">
        <f>SUMPRODUCT(Sample,yObs2,Illuminant_F7)/SUMPRODUCT(yObs2,Illuminant_F7)</f>
        <v>0.64652790187468201</v>
      </c>
      <c r="J17" s="118">
        <f>SUMPRODUCT(Sample,zObs2,Illuminant_F7)/SUMPRODUCT(yObs2,Illuminant_F7)</f>
        <v>0.69659106906581625</v>
      </c>
      <c r="K17" s="119">
        <f t="shared" si="19"/>
        <v>0.31011362056867686</v>
      </c>
      <c r="L17" s="118">
        <f t="shared" si="20"/>
        <v>0.33208584129619428</v>
      </c>
      <c r="M17" s="120">
        <f t="shared" si="0"/>
        <v>84.304499059611274</v>
      </c>
      <c r="N17" s="120">
        <f t="shared" si="1"/>
        <v>-2.528933278585721</v>
      </c>
      <c r="O17" s="121">
        <f t="shared" si="2"/>
        <v>0.53466701418560802</v>
      </c>
      <c r="P17" s="120">
        <f t="shared" si="3"/>
        <v>2.5848350708694117</v>
      </c>
      <c r="Q17" s="121">
        <f t="shared" si="4"/>
        <v>168.06232089083829</v>
      </c>
      <c r="R17" s="120">
        <f t="shared" si="5"/>
        <v>-3.2635050367787906</v>
      </c>
      <c r="S17" s="121">
        <f t="shared" si="6"/>
        <v>1.252150950972245</v>
      </c>
      <c r="T17" s="120">
        <f t="shared" si="7"/>
        <v>3.4954752365166648</v>
      </c>
      <c r="U17" s="122">
        <f t="shared" si="8"/>
        <v>159.00904788832929</v>
      </c>
      <c r="W17" s="5">
        <f t="shared" si="9"/>
        <v>0.63524890000610124</v>
      </c>
      <c r="X17" s="5">
        <f t="shared" si="10"/>
        <v>0.64652790187468201</v>
      </c>
      <c r="Y17" s="5">
        <f t="shared" si="11"/>
        <v>0.64054989901671056</v>
      </c>
      <c r="Z17" s="5">
        <f t="shared" si="12"/>
        <v>0.85963609085327053</v>
      </c>
      <c r="AA17" s="5">
        <f t="shared" si="13"/>
        <v>0.86469395741044197</v>
      </c>
      <c r="AB17" s="5">
        <f t="shared" si="14"/>
        <v>0.86202062233951393</v>
      </c>
      <c r="AC17" s="5">
        <f>SUMPRODUCT(xObs2,Illuminant_F7)/SUMPRODUCT(yObs2,Illuminant_F7)</f>
        <v>0.95041620452857067</v>
      </c>
      <c r="AD17" s="5">
        <f>SUMPRODUCT(yObs2,Illuminant_F7)/SUMPRODUCT(yObs2,Illuminant_F7)</f>
        <v>1</v>
      </c>
      <c r="AE17" s="5">
        <f>SUMPRODUCT(zObs2,Illuminant_F7)/SUMPRODUCT(yObs2,Illuminant_F7)</f>
        <v>1.0874891560128772</v>
      </c>
      <c r="AF17" s="5">
        <f t="shared" si="15"/>
        <v>0.19489283653363598</v>
      </c>
      <c r="AG17" s="5">
        <f t="shared" si="16"/>
        <v>0.46957818490664371</v>
      </c>
      <c r="AH17" s="5">
        <f t="shared" si="17"/>
        <v>0.19787059990075445</v>
      </c>
      <c r="AI17" s="5">
        <f t="shared" si="18"/>
        <v>0.46843566813713139</v>
      </c>
    </row>
    <row r="18" spans="2:35">
      <c r="B18" s="36">
        <v>345</v>
      </c>
      <c r="C18" s="194">
        <f>HLOOKUP($N$54,SpectralData!$B$1:$Z$100,3,FALSE)</f>
        <v>-7.5453756310533295E-5</v>
      </c>
      <c r="D18" s="183">
        <v>1</v>
      </c>
      <c r="E18" s="5"/>
      <c r="F18" s="189"/>
      <c r="G18" s="150" t="s">
        <v>119</v>
      </c>
      <c r="H18" s="118">
        <f>SUMPRODUCT(Sample,xObs2,Illuminant_F11)/SUMPRODUCT(yObs2,Illuminant_F11)</f>
        <v>0.64362164312006787</v>
      </c>
      <c r="I18" s="119">
        <f>SUMPRODUCT(Sample,yObs2,Illuminant_F11)/SUMPRODUCT(yObs2,Illuminant_F11)</f>
        <v>0.64019922472303137</v>
      </c>
      <c r="J18" s="118">
        <f>SUMPRODUCT(Sample,zObs2,Illuminant_F11)/SUMPRODUCT(yObs2,Illuminant_F11)</f>
        <v>0.41145081565060043</v>
      </c>
      <c r="K18" s="119">
        <f t="shared" si="19"/>
        <v>0.37965693014683088</v>
      </c>
      <c r="L18" s="118">
        <f t="shared" si="20"/>
        <v>0.37763812783310174</v>
      </c>
      <c r="M18" s="120">
        <f t="shared" si="0"/>
        <v>83.976141277175529</v>
      </c>
      <c r="N18" s="120">
        <f t="shared" si="1"/>
        <v>-0.61258155598253872</v>
      </c>
      <c r="O18" s="121">
        <f t="shared" si="2"/>
        <v>8.847201249126968E-2</v>
      </c>
      <c r="P18" s="120">
        <f t="shared" si="3"/>
        <v>0.618937363328668</v>
      </c>
      <c r="Q18" s="121">
        <f t="shared" si="4"/>
        <v>171.78188928271751</v>
      </c>
      <c r="R18" s="120">
        <f t="shared" si="5"/>
        <v>-0.94730280068518913</v>
      </c>
      <c r="S18" s="121">
        <f t="shared" si="6"/>
        <v>0.22205537231753375</v>
      </c>
      <c r="T18" s="120">
        <f t="shared" si="7"/>
        <v>0.97298056741184802</v>
      </c>
      <c r="U18" s="122">
        <f t="shared" si="8"/>
        <v>166.80759599611778</v>
      </c>
      <c r="W18" s="5">
        <f t="shared" si="9"/>
        <v>0.63747291984004872</v>
      </c>
      <c r="X18" s="5">
        <f t="shared" si="10"/>
        <v>0.64019922472303137</v>
      </c>
      <c r="Y18" s="5">
        <f t="shared" si="11"/>
        <v>0.63921396437950007</v>
      </c>
      <c r="Z18" s="5">
        <f t="shared" si="12"/>
        <v>0.86063812376023774</v>
      </c>
      <c r="AA18" s="5">
        <f t="shared" si="13"/>
        <v>0.86186328687220282</v>
      </c>
      <c r="AB18" s="5">
        <f t="shared" si="14"/>
        <v>0.86142092680974647</v>
      </c>
      <c r="AC18" s="5">
        <f>SUMPRODUCT(xObs2,Illuminant_F11)/SUMPRODUCT(yObs2,Illuminant_F11)</f>
        <v>1.0096454658521996</v>
      </c>
      <c r="AD18" s="5">
        <f>SUMPRODUCT(yObs2,Illuminant_F11)/SUMPRODUCT(yObs2,Illuminant_F11)</f>
        <v>1</v>
      </c>
      <c r="AE18" s="5">
        <f>SUMPRODUCT(zObs2,Illuminant_F11)/SUMPRODUCT(yObs2,Illuminant_F11)</f>
        <v>0.64368245779800093</v>
      </c>
      <c r="AF18" s="5">
        <f t="shared" si="15"/>
        <v>0.22423961242310061</v>
      </c>
      <c r="AG18" s="5">
        <f t="shared" si="16"/>
        <v>0.50185627225253648</v>
      </c>
      <c r="AH18" s="5">
        <f t="shared" si="17"/>
        <v>0.22510735229657297</v>
      </c>
      <c r="AI18" s="5">
        <f t="shared" si="18"/>
        <v>0.50165286706832368</v>
      </c>
    </row>
    <row r="19" spans="2:35">
      <c r="B19" s="36">
        <v>350</v>
      </c>
      <c r="C19" s="194">
        <f>HLOOKUP($N$54,SpectralData!$B$1:$Z$100,4,FALSE)</f>
        <v>2.0255403407066599E-4</v>
      </c>
      <c r="D19" s="183">
        <v>1</v>
      </c>
      <c r="E19" s="5"/>
      <c r="F19" s="116"/>
      <c r="G19" s="117" t="s">
        <v>14</v>
      </c>
      <c r="H19" s="118">
        <f>SUMPRODUCT(Sample,xObs2,Blackbody)/SUMPRODUCT(yObs2,Blackbody)</f>
        <v>0.62364466337564828</v>
      </c>
      <c r="I19" s="119">
        <f>SUMPRODUCT(Sample,yObs2,Blackbody)/SUMPRODUCT(yObs2,Blackbody)</f>
        <v>0.64676793433298452</v>
      </c>
      <c r="J19" s="118">
        <f>SUMPRODUCT(Sample,zObs2,Blackbody)/SUMPRODUCT(yObs2,Blackbody)</f>
        <v>0.55469873203546427</v>
      </c>
      <c r="K19" s="119">
        <f t="shared" si="19"/>
        <v>0.34170225849350838</v>
      </c>
      <c r="L19" s="118">
        <f t="shared" si="20"/>
        <v>0.35437177107638101</v>
      </c>
      <c r="M19" s="120">
        <f t="shared" si="0"/>
        <v>84.316910669625699</v>
      </c>
      <c r="N19" s="120">
        <f t="shared" si="1"/>
        <v>-2.5476589289118445</v>
      </c>
      <c r="O19" s="121">
        <f t="shared" si="2"/>
        <v>0.33032864505573301</v>
      </c>
      <c r="P19" s="120">
        <f t="shared" si="3"/>
        <v>2.5689848251417531</v>
      </c>
      <c r="Q19" s="121">
        <f t="shared" si="4"/>
        <v>172.61226347059178</v>
      </c>
      <c r="R19" s="120">
        <f t="shared" si="5"/>
        <v>-3.6786047766392622</v>
      </c>
      <c r="S19" s="121">
        <f t="shared" si="6"/>
        <v>0.91837801647445161</v>
      </c>
      <c r="T19" s="120">
        <f t="shared" si="7"/>
        <v>3.79151042249085</v>
      </c>
      <c r="U19" s="122">
        <f t="shared" si="8"/>
        <v>165.98242183036581</v>
      </c>
      <c r="W19" s="5">
        <f t="shared" si="9"/>
        <v>0.6354030891114949</v>
      </c>
      <c r="X19" s="5">
        <f t="shared" si="10"/>
        <v>0.64676793433298452</v>
      </c>
      <c r="Y19" s="5">
        <f t="shared" si="11"/>
        <v>0.64306931093926822</v>
      </c>
      <c r="Z19" s="5">
        <f t="shared" si="12"/>
        <v>0.85970563619067375</v>
      </c>
      <c r="AA19" s="5">
        <f t="shared" si="13"/>
        <v>0.86480095404849744</v>
      </c>
      <c r="AB19" s="5">
        <f t="shared" si="14"/>
        <v>0.86314931082321877</v>
      </c>
      <c r="AC19" s="5">
        <f>SUMPRODUCT(xObs2,Blackbody)/SUMPRODUCT(yObs2,Blackbody)</f>
        <v>0.98149454112303913</v>
      </c>
      <c r="AD19" s="5">
        <f>SUMPRODUCT(yObs2,Blackbody)/SUMPRODUCT(yObs2,Blackbody)</f>
        <v>1</v>
      </c>
      <c r="AE19" s="5">
        <f>SUMPRODUCT(zObs2,Blackbody)/SUMPRODUCT(yObs2,Blackbody)</f>
        <v>0.862580009027752</v>
      </c>
      <c r="AF19" s="5">
        <f t="shared" si="15"/>
        <v>0.20806777729567336</v>
      </c>
      <c r="AG19" s="5">
        <f t="shared" si="16"/>
        <v>0.48551048771481203</v>
      </c>
      <c r="AH19" s="5">
        <f t="shared" si="17"/>
        <v>0.21142380156121796</v>
      </c>
      <c r="AI19" s="5">
        <f t="shared" si="18"/>
        <v>0.48467264317989389</v>
      </c>
    </row>
    <row r="20" spans="2:35">
      <c r="B20" s="36">
        <v>355</v>
      </c>
      <c r="C20" s="194">
        <f>HLOOKUP($N$54,SpectralData!$B$1:$Z$100,5,FALSE)</f>
        <v>-1.09610000789999E-4</v>
      </c>
      <c r="D20" s="183">
        <v>1</v>
      </c>
      <c r="E20" s="5"/>
      <c r="F20" s="126"/>
      <c r="G20" s="127" t="s">
        <v>30</v>
      </c>
      <c r="H20" s="128">
        <f>SUMPRODUCT(Sample,xObs2,Custom_Illuminant)/SUMPRODUCT(yObs2,Custom_Illuminant)</f>
        <v>0.63479307072278623</v>
      </c>
      <c r="I20" s="129">
        <f>SUMPRODUCT(Sample,yObs2,Custom_Illuminant)/SUMPRODUCT(yObs2,Custom_Illuminant)</f>
        <v>0.64705572679234657</v>
      </c>
      <c r="J20" s="130">
        <f>SUMPRODUCT(Sample,zObs2,Custom_Illuminant)/SUMPRODUCT(yObs2,Custom_Illuminant)</f>
        <v>0.63971228289848203</v>
      </c>
      <c r="K20" s="129">
        <f t="shared" si="19"/>
        <v>0.3303527934621508</v>
      </c>
      <c r="L20" s="131">
        <f t="shared" si="20"/>
        <v>0.33673440484809791</v>
      </c>
      <c r="M20" s="132">
        <f t="shared" si="0"/>
        <v>84.331787808601291</v>
      </c>
      <c r="N20" s="132">
        <f t="shared" si="1"/>
        <v>-2.7609973092266316</v>
      </c>
      <c r="O20" s="132">
        <f t="shared" si="2"/>
        <v>0.67639734388051931</v>
      </c>
      <c r="P20" s="132">
        <f t="shared" si="3"/>
        <v>2.8426430497629003</v>
      </c>
      <c r="Q20" s="132">
        <f t="shared" si="4"/>
        <v>166.23461936421012</v>
      </c>
      <c r="R20" s="132">
        <f t="shared" si="5"/>
        <v>-3.7460336168535422</v>
      </c>
      <c r="S20" s="133">
        <f t="shared" si="6"/>
        <v>1.4826566313515344</v>
      </c>
      <c r="T20" s="132">
        <f t="shared" si="7"/>
        <v>4.0287763086435451</v>
      </c>
      <c r="U20" s="134">
        <f t="shared" si="8"/>
        <v>158.40665113181723</v>
      </c>
      <c r="W20" s="5">
        <f t="shared" si="9"/>
        <v>0.6347416253433813</v>
      </c>
      <c r="X20" s="5">
        <f t="shared" si="10"/>
        <v>0.64705572679234657</v>
      </c>
      <c r="Y20" s="5">
        <f t="shared" si="11"/>
        <v>0.63949514839566712</v>
      </c>
      <c r="Z20" s="5">
        <f t="shared" si="12"/>
        <v>0.85940721062810954</v>
      </c>
      <c r="AA20" s="5">
        <f t="shared" si="13"/>
        <v>0.8649292052465628</v>
      </c>
      <c r="AB20" s="5">
        <f t="shared" si="14"/>
        <v>0.86154721852716021</v>
      </c>
      <c r="AC20" s="5">
        <f>SUMPRODUCT(xObs2,Custom_Illuminant)/SUMPRODUCT(yObs2,Custom_Illuminant)</f>
        <v>1.0000810493236159</v>
      </c>
      <c r="AD20" s="5">
        <f>SUMPRODUCT(yObs2,Custom_Illuminant)/SUMPRODUCT(yObs2,Custom_Illuminant)</f>
        <v>1</v>
      </c>
      <c r="AE20" s="5">
        <f>SUMPRODUCT(zObs2,Custom_Illuminant)/SUMPRODUCT(yObs2,Custom_Illuminant)</f>
        <v>1.0003395405005959</v>
      </c>
      <c r="AF20" s="5">
        <f t="shared" si="15"/>
        <v>0.20711425649573997</v>
      </c>
      <c r="AG20" s="5">
        <f t="shared" si="16"/>
        <v>0.47500919887162879</v>
      </c>
      <c r="AH20" s="5">
        <f t="shared" si="17"/>
        <v>0.21053119380435786</v>
      </c>
      <c r="AI20" s="5">
        <f t="shared" si="18"/>
        <v>0.47365679649682307</v>
      </c>
    </row>
    <row r="21" spans="2:35">
      <c r="B21" s="53">
        <v>360</v>
      </c>
      <c r="C21" s="194">
        <f>HLOOKUP($N$54,SpectralData!$B$1:$Z$100,6,FALSE)</f>
        <v>5.3196615858666598E-5</v>
      </c>
      <c r="D21" s="184">
        <v>1</v>
      </c>
      <c r="E21" s="5"/>
      <c r="F21" s="116" t="s">
        <v>34</v>
      </c>
      <c r="G21" s="117" t="s">
        <v>6</v>
      </c>
      <c r="H21" s="118">
        <f>SUMPRODUCT(Sample,xObs10,Illuminant_A)/SUMPRODUCT(yObs10,Illuminant_A)</f>
        <v>0.70612426713169008</v>
      </c>
      <c r="I21" s="119">
        <f>SUMPRODUCT(Sample,yObs10,Illuminant_A)/SUMPRODUCT(yObs10,Illuminant_A)</f>
        <v>0.6442619503011292</v>
      </c>
      <c r="J21" s="118">
        <f>SUMPRODUCT(Sample,zObs10,Illuminant_A)/SUMPRODUCT(yObs10,Illuminant_A)</f>
        <v>0.22829775116592121</v>
      </c>
      <c r="K21" s="119">
        <f t="shared" si="19"/>
        <v>0.44728665215904789</v>
      </c>
      <c r="L21" s="118">
        <f t="shared" si="20"/>
        <v>0.40810064782819333</v>
      </c>
      <c r="M21" s="120">
        <f t="shared" si="0"/>
        <v>84.187179459140211</v>
      </c>
      <c r="N21" s="120">
        <f t="shared" si="1"/>
        <v>-1.9987999077442642</v>
      </c>
      <c r="O21" s="121">
        <f t="shared" si="2"/>
        <v>-0.36446274547585755</v>
      </c>
      <c r="P21" s="120">
        <f t="shared" si="3"/>
        <v>2.0317564234027361</v>
      </c>
      <c r="Q21" s="121">
        <f t="shared" si="4"/>
        <v>190.33382861703356</v>
      </c>
      <c r="R21" s="120">
        <f t="shared" si="5"/>
        <v>-3.7759466778192747</v>
      </c>
      <c r="S21" s="121">
        <f t="shared" si="6"/>
        <v>0.28957030746143225</v>
      </c>
      <c r="T21" s="120">
        <f t="shared" si="7"/>
        <v>3.7870337041935245</v>
      </c>
      <c r="U21" s="122">
        <f t="shared" si="8"/>
        <v>175.61467689929094</v>
      </c>
      <c r="W21" s="5">
        <f t="shared" si="9"/>
        <v>0.63535729345885139</v>
      </c>
      <c r="X21" s="5">
        <f t="shared" si="10"/>
        <v>0.6442619503011292</v>
      </c>
      <c r="Y21" s="5">
        <f t="shared" si="11"/>
        <v>0.64834861243810737</v>
      </c>
      <c r="Z21" s="5">
        <f t="shared" si="12"/>
        <v>0.85968498172882368</v>
      </c>
      <c r="AA21" s="5">
        <f t="shared" si="13"/>
        <v>0.86368258154431221</v>
      </c>
      <c r="AB21" s="5">
        <f t="shared" si="14"/>
        <v>0.8655048952716915</v>
      </c>
      <c r="AC21" s="5">
        <f>SUMPRODUCT(xObs10,Illuminant_A)/SUMPRODUCT(yObs10,Illuminant_A)</f>
        <v>1.1113813824149039</v>
      </c>
      <c r="AD21" s="5">
        <f>SUMPRODUCT(yObs10,Illuminant_A)/SUMPRODUCT(yObs10,Illuminant_A)</f>
        <v>1</v>
      </c>
      <c r="AE21" s="5">
        <f>SUMPRODUCT(zObs10,Illuminant_A)/SUMPRODUCT(yObs10,Illuminant_A)</f>
        <v>0.35212190908747409</v>
      </c>
      <c r="AF21" s="5">
        <f t="shared" si="15"/>
        <v>0.25549621594531446</v>
      </c>
      <c r="AG21" s="5">
        <f t="shared" si="16"/>
        <v>0.5245034345842321</v>
      </c>
      <c r="AH21" s="5">
        <f t="shared" si="17"/>
        <v>0.25894635453674097</v>
      </c>
      <c r="AI21" s="5">
        <f t="shared" si="18"/>
        <v>0.52423884989118741</v>
      </c>
    </row>
    <row r="22" spans="2:35">
      <c r="B22" s="53">
        <v>365</v>
      </c>
      <c r="C22" s="194">
        <f>HLOOKUP($N$54,SpectralData!$B$1:$Z$100,7,FALSE)</f>
        <v>-6.6301081353939902E-5</v>
      </c>
      <c r="D22" s="184">
        <v>1</v>
      </c>
      <c r="E22" s="5"/>
      <c r="F22" s="116"/>
      <c r="G22" s="117" t="s">
        <v>7</v>
      </c>
      <c r="H22" s="118">
        <f>SUMPRODUCT(Sample,xObs10,Illuminant_B)/SUMPRODUCT(yObs10,Illuminant_B)</f>
        <v>0.63049262244506921</v>
      </c>
      <c r="I22" s="119">
        <f>SUMPRODUCT(Sample,yObs10,Illuminant_B)/SUMPRODUCT(yObs10,Illuminant_B)</f>
        <v>0.64837018692024762</v>
      </c>
      <c r="J22" s="118">
        <f>SUMPRODUCT(Sample,zObs10,Illuminant_B)/SUMPRODUCT(yObs10,Illuminant_B)</f>
        <v>0.54140003245182222</v>
      </c>
      <c r="K22" s="119">
        <f t="shared" ref="K22:K30" si="21">H22/(H22+I22+J22)</f>
        <v>0.34637449491396455</v>
      </c>
      <c r="L22" s="118">
        <f t="shared" ref="L22:L30" si="22">I22/(H22+I22+J22)</f>
        <v>0.35619591414226209</v>
      </c>
      <c r="M22" s="120">
        <f t="shared" si="0"/>
        <v>84.399681461818901</v>
      </c>
      <c r="N22" s="120">
        <f t="shared" si="1"/>
        <v>-2.857380736653925</v>
      </c>
      <c r="O22" s="121">
        <f t="shared" si="2"/>
        <v>0.58677357757643822</v>
      </c>
      <c r="P22" s="120">
        <f t="shared" si="3"/>
        <v>2.9170066687518528</v>
      </c>
      <c r="Q22" s="121">
        <f t="shared" si="4"/>
        <v>168.39542940484577</v>
      </c>
      <c r="R22" s="120">
        <f t="shared" si="5"/>
        <v>-4.0616910967852515</v>
      </c>
      <c r="S22" s="121">
        <f t="shared" si="6"/>
        <v>1.3031821918141124</v>
      </c>
      <c r="T22" s="120">
        <f t="shared" si="7"/>
        <v>4.265632238105626</v>
      </c>
      <c r="U22" s="122">
        <f t="shared" si="8"/>
        <v>162.21130741687128</v>
      </c>
      <c r="W22" s="5">
        <f t="shared" si="9"/>
        <v>0.63561175301569828</v>
      </c>
      <c r="X22" s="5">
        <f t="shared" si="10"/>
        <v>0.64837018692024762</v>
      </c>
      <c r="Y22" s="5">
        <f t="shared" si="11"/>
        <v>0.64179909528874013</v>
      </c>
      <c r="Z22" s="5">
        <f t="shared" si="12"/>
        <v>0.85979973388719988</v>
      </c>
      <c r="AA22" s="5">
        <f t="shared" si="13"/>
        <v>0.86551449536050773</v>
      </c>
      <c r="AB22" s="5">
        <f t="shared" si="14"/>
        <v>0.86258062747262554</v>
      </c>
      <c r="AC22" s="5">
        <f>SUMPRODUCT(xObs10,Illuminant_B)/SUMPRODUCT(yObs10,Illuminant_B)</f>
        <v>0.99194613607073645</v>
      </c>
      <c r="AD22" s="5">
        <f>SUMPRODUCT(yObs10,Illuminant_B)/SUMPRODUCT(yObs10,Illuminant_B)</f>
        <v>1</v>
      </c>
      <c r="AE22" s="5">
        <f>SUMPRODUCT(zObs10,Illuminant_B)/SUMPRODUCT(yObs10,Illuminant_B)</f>
        <v>0.84356621320609804</v>
      </c>
      <c r="AF22" s="5">
        <f t="shared" si="15"/>
        <v>0.21051075162118577</v>
      </c>
      <c r="AG22" s="5">
        <f t="shared" si="16"/>
        <v>0.48707947352039516</v>
      </c>
      <c r="AH22" s="5">
        <f t="shared" si="17"/>
        <v>0.21421263498453863</v>
      </c>
      <c r="AI22" s="5">
        <f t="shared" si="18"/>
        <v>0.48589173463027802</v>
      </c>
    </row>
    <row r="23" spans="2:35">
      <c r="B23" s="53">
        <v>370</v>
      </c>
      <c r="C23" s="194">
        <f>HLOOKUP($N$54,SpectralData!$B$1:$Z$100,8,FALSE)</f>
        <v>9.3895906275333297E-5</v>
      </c>
      <c r="D23" s="184">
        <v>1</v>
      </c>
      <c r="E23" s="5"/>
      <c r="F23" s="116"/>
      <c r="G23" s="117" t="s">
        <v>8</v>
      </c>
      <c r="H23" s="118">
        <f>SUMPRODUCT(Sample,xObs10,Illuminant_C)/SUMPRODUCT(yObs10,Illuminant_C)</f>
        <v>0.61797630958299354</v>
      </c>
      <c r="I23" s="119">
        <f>SUMPRODUCT(Sample,yObs10,Illuminant_C)/SUMPRODUCT(yObs10,Illuminant_C)</f>
        <v>0.64999951428476477</v>
      </c>
      <c r="J23" s="118">
        <f>SUMPRODUCT(Sample,zObs10,Illuminant_C)/SUMPRODUCT(yObs10,Illuminant_C)</f>
        <v>0.74231075612675534</v>
      </c>
      <c r="K23" s="119">
        <f t="shared" si="21"/>
        <v>0.30740707107773663</v>
      </c>
      <c r="L23" s="118">
        <f t="shared" si="22"/>
        <v>0.32333674250889083</v>
      </c>
      <c r="M23" s="120">
        <f t="shared" si="0"/>
        <v>84.483711190573572</v>
      </c>
      <c r="N23" s="120">
        <f t="shared" si="1"/>
        <v>-3.3072323322809738</v>
      </c>
      <c r="O23" s="121">
        <f t="shared" si="2"/>
        <v>0.97157883200928996</v>
      </c>
      <c r="P23" s="120">
        <f t="shared" si="3"/>
        <v>3.4469916052252265</v>
      </c>
      <c r="Q23" s="121">
        <f t="shared" si="4"/>
        <v>163.62858386474969</v>
      </c>
      <c r="R23" s="120">
        <f t="shared" si="5"/>
        <v>-4.1026455018449326</v>
      </c>
      <c r="S23" s="121">
        <f t="shared" si="6"/>
        <v>2.1081409436631331</v>
      </c>
      <c r="T23" s="120">
        <f t="shared" si="7"/>
        <v>4.6125869479238375</v>
      </c>
      <c r="U23" s="122">
        <f t="shared" si="8"/>
        <v>152.80367284612737</v>
      </c>
      <c r="W23" s="5">
        <f t="shared" si="9"/>
        <v>0.63522303786203815</v>
      </c>
      <c r="X23" s="5">
        <f t="shared" si="10"/>
        <v>0.64999951428476477</v>
      </c>
      <c r="Y23" s="5">
        <f t="shared" si="11"/>
        <v>0.63912507570074317</v>
      </c>
      <c r="Z23" s="5">
        <f t="shared" si="12"/>
        <v>0.85962442490934821</v>
      </c>
      <c r="AA23" s="5">
        <f t="shared" si="13"/>
        <v>0.86623888957391015</v>
      </c>
      <c r="AB23" s="5">
        <f t="shared" si="14"/>
        <v>0.8613809954138637</v>
      </c>
      <c r="AC23" s="5">
        <f>SUMPRODUCT(xObs10,Illuminant_C)/SUMPRODUCT(yObs10,Illuminant_C)</f>
        <v>0.97284933440529531</v>
      </c>
      <c r="AD23" s="5">
        <f>SUMPRODUCT(yObs10,Illuminant_C)/SUMPRODUCT(yObs10,Illuminant_C)</f>
        <v>1</v>
      </c>
      <c r="AE23" s="5">
        <f>SUMPRODUCT(zObs10,Illuminant_C)/SUMPRODUCT(yObs10,Illuminant_C)</f>
        <v>1.1614483367170008</v>
      </c>
      <c r="AF23" s="5">
        <f t="shared" si="15"/>
        <v>0.19626237482750297</v>
      </c>
      <c r="AG23" s="5">
        <f t="shared" si="16"/>
        <v>0.46447332081670573</v>
      </c>
      <c r="AH23" s="5">
        <f t="shared" si="17"/>
        <v>0.19999786550468981</v>
      </c>
      <c r="AI23" s="5">
        <f t="shared" si="18"/>
        <v>0.46255384207117234</v>
      </c>
    </row>
    <row r="24" spans="2:35">
      <c r="B24" s="53">
        <v>375</v>
      </c>
      <c r="C24" s="194">
        <f>HLOOKUP($N$54,SpectralData!$B$1:$Z$100,9,FALSE)</f>
        <v>-1.43972247085066E-4</v>
      </c>
      <c r="D24" s="184">
        <v>1</v>
      </c>
      <c r="E24" s="5"/>
      <c r="F24" s="116"/>
      <c r="G24" s="117" t="s">
        <v>13</v>
      </c>
      <c r="H24" s="118">
        <f>SUMPRODUCT(Sample,xObs10,Illuminant_D)/SUMPRODUCT(yObs10,Illuminant_D)</f>
        <v>0.61508635015243496</v>
      </c>
      <c r="I24" s="119">
        <f>SUMPRODUCT(Sample,yObs10,Illuminant_D)/SUMPRODUCT(yObs10,Illuminant_D)</f>
        <v>0.64885433886138766</v>
      </c>
      <c r="J24" s="118">
        <f>SUMPRODUCT(Sample,zObs10,Illuminant_D)/SUMPRODUCT(yObs10,Illuminant_D)</f>
        <v>0.52286183933275765</v>
      </c>
      <c r="K24" s="119">
        <f t="shared" si="21"/>
        <v>0.34423857163533661</v>
      </c>
      <c r="L24" s="118">
        <f t="shared" si="22"/>
        <v>0.36313712823196287</v>
      </c>
      <c r="M24" s="120">
        <f t="shared" si="0"/>
        <v>84.424665443507735</v>
      </c>
      <c r="N24" s="120">
        <f t="shared" si="1"/>
        <v>-2.8985853940614592</v>
      </c>
      <c r="O24" s="121">
        <f t="shared" si="2"/>
        <v>0.56400228407400554</v>
      </c>
      <c r="P24" s="120">
        <f t="shared" si="3"/>
        <v>2.9529469793931482</v>
      </c>
      <c r="Q24" s="121">
        <f t="shared" si="4"/>
        <v>168.98906050990485</v>
      </c>
      <c r="R24" s="120">
        <f t="shared" si="5"/>
        <v>-4.0726998203444627</v>
      </c>
      <c r="S24" s="121">
        <f t="shared" si="6"/>
        <v>1.2586648611228684</v>
      </c>
      <c r="T24" s="120">
        <f t="shared" si="7"/>
        <v>4.2627597937555981</v>
      </c>
      <c r="U24" s="122">
        <f t="shared" si="8"/>
        <v>162.82627468481485</v>
      </c>
      <c r="W24" s="5">
        <f t="shared" si="9"/>
        <v>0.63590669470872208</v>
      </c>
      <c r="X24" s="5">
        <f t="shared" si="10"/>
        <v>0.64885433886138766</v>
      </c>
      <c r="Y24" s="5">
        <f t="shared" si="11"/>
        <v>0.64253427451091738</v>
      </c>
      <c r="Z24" s="5">
        <f t="shared" si="12"/>
        <v>0.85993270372487474</v>
      </c>
      <c r="AA24" s="5">
        <f t="shared" si="13"/>
        <v>0.86572987451299765</v>
      </c>
      <c r="AB24" s="5">
        <f t="shared" si="14"/>
        <v>0.86290986309262763</v>
      </c>
      <c r="AC24" s="5">
        <f>SUMPRODUCT(xObs10,Illuminant_D)/SUMPRODUCT(yObs10,Illuminant_D)</f>
        <v>0.96725880584442669</v>
      </c>
      <c r="AD24" s="5">
        <f>SUMPRODUCT(yObs10,Illuminant_D)/SUMPRODUCT(yObs10,Illuminant_D)</f>
        <v>1</v>
      </c>
      <c r="AE24" s="5">
        <f>SUMPRODUCT(zObs10,Illuminant_D)/SUMPRODUCT(yObs10,Illuminant_D)</f>
        <v>0.8137493361435828</v>
      </c>
      <c r="AF24" s="5">
        <f t="shared" si="15"/>
        <v>0.20646566481478898</v>
      </c>
      <c r="AG24" s="5">
        <f t="shared" si="16"/>
        <v>0.49005122681961133</v>
      </c>
      <c r="AH24" s="5">
        <f t="shared" si="17"/>
        <v>0.21017648321032756</v>
      </c>
      <c r="AI24" s="5">
        <f t="shared" si="18"/>
        <v>0.48890440114462758</v>
      </c>
    </row>
    <row r="25" spans="2:35">
      <c r="B25" s="53">
        <v>380</v>
      </c>
      <c r="C25" s="194">
        <f>HLOOKUP($N$54,SpectralData!$B$1:$Z$100,10,FALSE)</f>
        <v>3.4437642526999898E-4</v>
      </c>
      <c r="D25" s="184">
        <v>1</v>
      </c>
      <c r="E25" s="5"/>
      <c r="F25" s="116"/>
      <c r="G25" s="117" t="s">
        <v>9</v>
      </c>
      <c r="H25" s="118">
        <f>SUMPRODUCT(Sample,xObs10,Illuminant_E)/SUMPRODUCT(yObs10,Illuminant_E)</f>
        <v>0.63414574637366983</v>
      </c>
      <c r="I25" s="119">
        <f>SUMPRODUCT(Sample,yObs10,Illuminant_E)/SUMPRODUCT(yObs10,Illuminant_E)</f>
        <v>0.64890263321235719</v>
      </c>
      <c r="J25" s="118">
        <f>SUMPRODUCT(Sample,zObs10,Illuminant_E)/SUMPRODUCT(yObs10,Illuminant_E)</f>
        <v>0.63383427517918545</v>
      </c>
      <c r="K25" s="119">
        <f t="shared" si="21"/>
        <v>0.33082137020606645</v>
      </c>
      <c r="L25" s="118">
        <f t="shared" si="22"/>
        <v>0.33851974798730566</v>
      </c>
      <c r="M25" s="120">
        <f t="shared" si="0"/>
        <v>84.427156923965939</v>
      </c>
      <c r="N25" s="120">
        <f t="shared" si="1"/>
        <v>-3.2906395575393876</v>
      </c>
      <c r="O25" s="121">
        <f t="shared" si="2"/>
        <v>1.3562972782694471</v>
      </c>
      <c r="P25" s="120">
        <f t="shared" si="3"/>
        <v>3.5591924652488416</v>
      </c>
      <c r="Q25" s="121">
        <f t="shared" si="4"/>
        <v>157.60009635604249</v>
      </c>
      <c r="R25" s="120">
        <f t="shared" si="5"/>
        <v>-4.1232292096011411</v>
      </c>
      <c r="S25" s="121">
        <f t="shared" si="6"/>
        <v>2.5457042019686056</v>
      </c>
      <c r="T25" s="120">
        <f t="shared" si="7"/>
        <v>4.845784662862008</v>
      </c>
      <c r="U25" s="122">
        <f t="shared" si="8"/>
        <v>148.30859172405565</v>
      </c>
      <c r="W25" s="5">
        <f t="shared" si="9"/>
        <v>0.63421633595098181</v>
      </c>
      <c r="X25" s="5">
        <f t="shared" si="10"/>
        <v>0.64890263321235719</v>
      </c>
      <c r="Y25" s="5">
        <f t="shared" si="11"/>
        <v>0.63377307631050828</v>
      </c>
      <c r="Z25" s="5">
        <f t="shared" si="12"/>
        <v>0.85917007367773102</v>
      </c>
      <c r="AA25" s="5">
        <f t="shared" si="13"/>
        <v>0.86575135279280979</v>
      </c>
      <c r="AB25" s="5">
        <f t="shared" si="14"/>
        <v>0.85896986640146256</v>
      </c>
      <c r="AC25" s="5">
        <f>SUMPRODUCT(xObs10,Illuminant_E)/SUMPRODUCT(yObs10,Illuminant_E)</f>
        <v>0.99988869795161273</v>
      </c>
      <c r="AD25" s="5">
        <f>SUMPRODUCT(yObs10,Illuminant_E)/SUMPRODUCT(yObs10,Illuminant_E)</f>
        <v>1</v>
      </c>
      <c r="AE25" s="5">
        <f>SUMPRODUCT(zObs10,Illuminant_E)/SUMPRODUCT(yObs10,Illuminant_E)</f>
        <v>1.0000965627461385</v>
      </c>
      <c r="AF25" s="5">
        <f t="shared" si="15"/>
        <v>0.20674416033095422</v>
      </c>
      <c r="AG25" s="5">
        <f t="shared" si="16"/>
        <v>0.47599919942096375</v>
      </c>
      <c r="AH25" s="5">
        <f t="shared" si="17"/>
        <v>0.21050090743955657</v>
      </c>
      <c r="AI25" s="5">
        <f t="shared" si="18"/>
        <v>0.47367976326693351</v>
      </c>
    </row>
    <row r="26" spans="2:35">
      <c r="B26" s="53">
        <v>385</v>
      </c>
      <c r="C26" s="194">
        <f>HLOOKUP($N$54,SpectralData!$B$1:$Z$100,11,FALSE)</f>
        <v>4.8889030112266604E-4</v>
      </c>
      <c r="D26" s="184">
        <v>1</v>
      </c>
      <c r="E26" s="5"/>
      <c r="F26" s="189"/>
      <c r="G26" s="150" t="s">
        <v>117</v>
      </c>
      <c r="H26" s="118">
        <f>SUMPRODUCT(Sample,xObs10,Illuminant_F2)/SUMPRODUCT(yObs10,Illuminant_F2)</f>
        <v>0.65722230968232198</v>
      </c>
      <c r="I26" s="119">
        <f>SUMPRODUCT(Sample,yObs10,Illuminant_F2)/SUMPRODUCT(yObs10,Illuminant_F2)</f>
        <v>0.64405378708005456</v>
      </c>
      <c r="J26" s="118">
        <f>SUMPRODUCT(Sample,zObs10,Illuminant_F2)/SUMPRODUCT(yObs10,Illuminant_F2)</f>
        <v>0.43625533221475538</v>
      </c>
      <c r="K26" s="119">
        <f t="shared" si="21"/>
        <v>0.37825060239009461</v>
      </c>
      <c r="L26" s="118">
        <f t="shared" si="22"/>
        <v>0.37067173366711581</v>
      </c>
      <c r="M26" s="120">
        <f t="shared" si="0"/>
        <v>84.176388024321923</v>
      </c>
      <c r="N26" s="120">
        <f t="shared" si="1"/>
        <v>-1.7252582184428822</v>
      </c>
      <c r="O26" s="121">
        <f t="shared" si="2"/>
        <v>1.0788574223619785</v>
      </c>
      <c r="P26" s="120">
        <f t="shared" si="3"/>
        <v>2.0348093910954512</v>
      </c>
      <c r="Q26" s="121">
        <f t="shared" si="4"/>
        <v>147.9809817257439</v>
      </c>
      <c r="R26" s="120">
        <f t="shared" si="5"/>
        <v>-2.2857345829495501</v>
      </c>
      <c r="S26" s="121">
        <f t="shared" si="6"/>
        <v>1.5335950022583402</v>
      </c>
      <c r="T26" s="120">
        <f t="shared" si="7"/>
        <v>2.7525435899624391</v>
      </c>
      <c r="U26" s="122">
        <f t="shared" si="8"/>
        <v>146.14068595766557</v>
      </c>
      <c r="W26" s="5">
        <f t="shared" si="9"/>
        <v>0.6363645418369055</v>
      </c>
      <c r="X26" s="5">
        <f t="shared" si="10"/>
        <v>0.64405378708005456</v>
      </c>
      <c r="Y26" s="5">
        <f t="shared" si="11"/>
        <v>0.63206005094708784</v>
      </c>
      <c r="Z26" s="5">
        <f t="shared" si="12"/>
        <v>0.86013903549692394</v>
      </c>
      <c r="AA26" s="5">
        <f t="shared" si="13"/>
        <v>0.86358955193380971</v>
      </c>
      <c r="AB26" s="5">
        <f t="shared" si="14"/>
        <v>0.85819526482199981</v>
      </c>
      <c r="AC26" s="5">
        <f>SUMPRODUCT(xObs10,Illuminant_F2)/SUMPRODUCT(yObs10,Illuminant_F2)</f>
        <v>1.0327764456913473</v>
      </c>
      <c r="AD26" s="5">
        <f>SUMPRODUCT(yObs10,Illuminant_F2)/SUMPRODUCT(yObs10,Illuminant_F2)</f>
        <v>1</v>
      </c>
      <c r="AE26" s="5">
        <f>SUMPRODUCT(zObs10,Illuminant_F2)/SUMPRODUCT(yObs10,Illuminant_F2)</f>
        <v>0.6902118423100212</v>
      </c>
      <c r="AF26" s="5">
        <f t="shared" si="15"/>
        <v>0.22610609486846162</v>
      </c>
      <c r="AG26" s="5">
        <f t="shared" si="16"/>
        <v>0.49854530226261673</v>
      </c>
      <c r="AH26" s="5">
        <f t="shared" si="17"/>
        <v>0.22819487227120741</v>
      </c>
      <c r="AI26" s="5">
        <f t="shared" si="18"/>
        <v>0.4971438540762978</v>
      </c>
    </row>
    <row r="27" spans="2:35">
      <c r="B27" s="53">
        <v>390</v>
      </c>
      <c r="C27" s="194">
        <f>HLOOKUP($N$54,SpectralData!$B$1:$Z$100,12,FALSE)</f>
        <v>3.1810782801200001E-3</v>
      </c>
      <c r="D27" s="184">
        <v>1</v>
      </c>
      <c r="E27" s="5"/>
      <c r="F27" s="189"/>
      <c r="G27" s="150" t="s">
        <v>118</v>
      </c>
      <c r="H27" s="118">
        <f>SUMPRODUCT(Sample,xObs10,Illuminant_F7)/SUMPRODUCT(yObs10,Illuminant_F7)</f>
        <v>0.60804660519813181</v>
      </c>
      <c r="I27" s="119">
        <f>SUMPRODUCT(Sample,yObs10,Illuminant_F7)/SUMPRODUCT(yObs10,Illuminant_F7)</f>
        <v>0.6484388459108742</v>
      </c>
      <c r="J27" s="118">
        <f>SUMPRODUCT(Sample,zObs10,Illuminant_F7)/SUMPRODUCT(yObs10,Illuminant_F7)</f>
        <v>0.68436953857493066</v>
      </c>
      <c r="K27" s="119">
        <f t="shared" si="21"/>
        <v>0.31328801400930562</v>
      </c>
      <c r="L27" s="118">
        <f t="shared" si="22"/>
        <v>0.33409958464566736</v>
      </c>
      <c r="M27" s="120">
        <f t="shared" si="0"/>
        <v>84.403225269363276</v>
      </c>
      <c r="N27" s="120">
        <f t="shared" si="1"/>
        <v>-3.0668554867386288</v>
      </c>
      <c r="O27" s="121">
        <f t="shared" si="2"/>
        <v>1.1589970194684218</v>
      </c>
      <c r="P27" s="120">
        <f t="shared" si="3"/>
        <v>3.2785479511020603</v>
      </c>
      <c r="Q27" s="121">
        <f t="shared" si="4"/>
        <v>159.2978927564869</v>
      </c>
      <c r="R27" s="120">
        <f t="shared" si="5"/>
        <v>-3.6744720262695281</v>
      </c>
      <c r="S27" s="121">
        <f t="shared" si="6"/>
        <v>2.2811218618128914</v>
      </c>
      <c r="T27" s="120">
        <f t="shared" si="7"/>
        <v>4.3249579905795619</v>
      </c>
      <c r="U27" s="122">
        <f t="shared" si="8"/>
        <v>148.16788129472374</v>
      </c>
      <c r="W27" s="5">
        <f t="shared" si="9"/>
        <v>0.63475076271824871</v>
      </c>
      <c r="X27" s="5">
        <f t="shared" si="10"/>
        <v>0.6484388459108742</v>
      </c>
      <c r="Y27" s="5">
        <f t="shared" si="11"/>
        <v>0.63550159501278991</v>
      </c>
      <c r="Z27" s="5">
        <f t="shared" si="12"/>
        <v>0.85941133445206819</v>
      </c>
      <c r="AA27" s="5">
        <f t="shared" si="13"/>
        <v>0.86554504542554545</v>
      </c>
      <c r="AB27" s="5">
        <f t="shared" si="14"/>
        <v>0.85975006032820334</v>
      </c>
      <c r="AC27" s="5">
        <f>SUMPRODUCT(xObs10,Illuminant_F7)/SUMPRODUCT(yObs10,Illuminant_F7)</f>
        <v>0.9579296960498962</v>
      </c>
      <c r="AD27" s="5">
        <f>SUMPRODUCT(yObs10,Illuminant_F7)/SUMPRODUCT(yObs10,Illuminant_F7)</f>
        <v>1</v>
      </c>
      <c r="AE27" s="5">
        <f>SUMPRODUCT(zObs10,Illuminant_F7)/SUMPRODUCT(yObs10,Illuminant_F7)</f>
        <v>1.076896649741937</v>
      </c>
      <c r="AF27" s="5">
        <f t="shared" si="15"/>
        <v>0.19633822079093408</v>
      </c>
      <c r="AG27" s="5">
        <f t="shared" si="16"/>
        <v>0.47110696527425072</v>
      </c>
      <c r="AH27" s="5">
        <f t="shared" si="17"/>
        <v>0.1996870465428692</v>
      </c>
      <c r="AI27" s="5">
        <f t="shared" si="18"/>
        <v>0.46902800547280771</v>
      </c>
    </row>
    <row r="28" spans="2:35">
      <c r="B28" s="65">
        <v>395</v>
      </c>
      <c r="C28" s="194">
        <f>HLOOKUP($N$54,SpectralData!$B$1:$Z$100,13,FALSE)</f>
        <v>3.1106112956666598E-2</v>
      </c>
      <c r="D28" s="185">
        <v>1</v>
      </c>
      <c r="E28" s="5"/>
      <c r="F28" s="189"/>
      <c r="G28" s="150" t="s">
        <v>119</v>
      </c>
      <c r="H28" s="118">
        <f>SUMPRODUCT(Sample,xObs10,Illuminant_F11)/SUMPRODUCT(yObs10,Illuminant_F11)</f>
        <v>0.6615937639677828</v>
      </c>
      <c r="I28" s="119">
        <f>SUMPRODUCT(Sample,yObs10,Illuminant_F11)/SUMPRODUCT(yObs10,Illuminant_F11)</f>
        <v>0.64146759097733974</v>
      </c>
      <c r="J28" s="118">
        <f>SUMPRODUCT(Sample,zObs10,Illuminant_F11)/SUMPRODUCT(yObs10,Illuminant_F11)</f>
        <v>0.416757892738022</v>
      </c>
      <c r="K28" s="119">
        <f t="shared" si="21"/>
        <v>0.38468796349328521</v>
      </c>
      <c r="L28" s="118">
        <f t="shared" si="22"/>
        <v>0.37298547032863666</v>
      </c>
      <c r="M28" s="120">
        <f t="shared" si="0"/>
        <v>84.042122150958292</v>
      </c>
      <c r="N28" s="120">
        <f t="shared" si="1"/>
        <v>-1.0135222779067976</v>
      </c>
      <c r="O28" s="121">
        <f t="shared" si="2"/>
        <v>0.57972228586251617</v>
      </c>
      <c r="P28" s="120">
        <f t="shared" si="3"/>
        <v>1.1676066703042789</v>
      </c>
      <c r="Q28" s="121">
        <f t="shared" si="4"/>
        <v>150.23097413207898</v>
      </c>
      <c r="R28" s="120">
        <f t="shared" si="5"/>
        <v>-1.3960969072084239</v>
      </c>
      <c r="S28" s="121">
        <f t="shared" si="6"/>
        <v>0.82275103416825857</v>
      </c>
      <c r="T28" s="120">
        <f t="shared" si="7"/>
        <v>1.6204955533854037</v>
      </c>
      <c r="U28" s="122">
        <f t="shared" si="8"/>
        <v>149.48820690140707</v>
      </c>
      <c r="W28" s="5">
        <f t="shared" si="9"/>
        <v>0.63695513264360881</v>
      </c>
      <c r="X28" s="5">
        <f t="shared" si="10"/>
        <v>0.64146759097733974</v>
      </c>
      <c r="Y28" s="5">
        <f t="shared" si="11"/>
        <v>0.63502143814542245</v>
      </c>
      <c r="Z28" s="5">
        <f t="shared" si="12"/>
        <v>0.86040504295244757</v>
      </c>
      <c r="AA28" s="5">
        <f t="shared" si="13"/>
        <v>0.86243208750826117</v>
      </c>
      <c r="AB28" s="5">
        <f t="shared" si="14"/>
        <v>0.85953347607894859</v>
      </c>
      <c r="AC28" s="5">
        <f>SUMPRODUCT(xObs10,Illuminant_F11)/SUMPRODUCT(yObs10,Illuminant_F11)</f>
        <v>1.0386818946287695</v>
      </c>
      <c r="AD28" s="5">
        <f>SUMPRODUCT(yObs10,Illuminant_F11)/SUMPRODUCT(yObs10,Illuminant_F11)</f>
        <v>1</v>
      </c>
      <c r="AE28" s="5">
        <f>SUMPRODUCT(zObs10,Illuminant_F11)/SUMPRODUCT(yObs10,Illuminant_F11)</f>
        <v>0.65628948521039188</v>
      </c>
      <c r="AF28" s="5">
        <f t="shared" si="15"/>
        <v>0.22944358325425898</v>
      </c>
      <c r="AG28" s="5">
        <f t="shared" si="16"/>
        <v>0.50054341337563157</v>
      </c>
      <c r="AH28" s="5">
        <f t="shared" si="17"/>
        <v>0.2307214194991882</v>
      </c>
      <c r="AI28" s="5">
        <f t="shared" si="18"/>
        <v>0.49979035598643112</v>
      </c>
    </row>
    <row r="29" spans="2:35">
      <c r="B29" s="53">
        <v>400</v>
      </c>
      <c r="C29" s="194">
        <f>HLOOKUP($N$54,SpectralData!$B$1:$Z$100,14,FALSE)</f>
        <v>0.14739572206066601</v>
      </c>
      <c r="D29" s="184">
        <v>1</v>
      </c>
      <c r="E29" s="5"/>
      <c r="F29" s="116"/>
      <c r="G29" s="117" t="s">
        <v>14</v>
      </c>
      <c r="H29" s="118">
        <f>SUMPRODUCT(Sample,xObs10,Blackbody)/SUMPRODUCT(yObs10,Blackbody)</f>
        <v>0.62579331434844743</v>
      </c>
      <c r="I29" s="119">
        <f>SUMPRODUCT(Sample,yObs10,Blackbody)/SUMPRODUCT(yObs10,Blackbody)</f>
        <v>0.64862826685678032</v>
      </c>
      <c r="J29" s="118">
        <f>SUMPRODUCT(Sample,zObs10,Blackbody)/SUMPRODUCT(yObs10,Blackbody)</f>
        <v>0.54766598026984059</v>
      </c>
      <c r="K29" s="119">
        <f t="shared" si="21"/>
        <v>0.34344854088232585</v>
      </c>
      <c r="L29" s="118">
        <f t="shared" si="22"/>
        <v>0.35598084338586022</v>
      </c>
      <c r="M29" s="120">
        <f t="shared" si="0"/>
        <v>84.413000862153368</v>
      </c>
      <c r="N29" s="120">
        <f t="shared" si="1"/>
        <v>-3.0351700651812252</v>
      </c>
      <c r="O29" s="121">
        <f t="shared" si="2"/>
        <v>0.99691825423164904</v>
      </c>
      <c r="P29" s="120">
        <f t="shared" si="3"/>
        <v>3.1946992550461588</v>
      </c>
      <c r="Q29" s="121">
        <f t="shared" si="4"/>
        <v>161.8169503115023</v>
      </c>
      <c r="R29" s="120">
        <f t="shared" si="5"/>
        <v>-4.0679021717979049</v>
      </c>
      <c r="S29" s="121">
        <f t="shared" si="6"/>
        <v>1.8653468920008165</v>
      </c>
      <c r="T29" s="120">
        <f t="shared" si="7"/>
        <v>4.475192410032804</v>
      </c>
      <c r="U29" s="122">
        <f t="shared" si="8"/>
        <v>155.36605660564541</v>
      </c>
      <c r="W29" s="5">
        <f t="shared" si="9"/>
        <v>0.63507796132883632</v>
      </c>
      <c r="X29" s="5">
        <f t="shared" si="10"/>
        <v>0.64862826685678032</v>
      </c>
      <c r="Y29" s="5">
        <f t="shared" si="11"/>
        <v>0.63748759187401571</v>
      </c>
      <c r="Z29" s="5">
        <f t="shared" si="12"/>
        <v>0.85955897764682176</v>
      </c>
      <c r="AA29" s="5">
        <f t="shared" si="13"/>
        <v>0.86562931777718422</v>
      </c>
      <c r="AB29" s="5">
        <f t="shared" si="14"/>
        <v>0.86064472650602597</v>
      </c>
      <c r="AC29" s="5">
        <f>SUMPRODUCT(xObs10,Blackbody)/SUMPRODUCT(yObs10,Blackbody)</f>
        <v>0.98538030360719542</v>
      </c>
      <c r="AD29" s="5">
        <f>SUMPRODUCT(yObs10,Blackbody)/SUMPRODUCT(yObs10,Blackbody)</f>
        <v>1</v>
      </c>
      <c r="AE29" s="5">
        <f>SUMPRODUCT(zObs10,Blackbody)/SUMPRODUCT(yObs10,Blackbody)</f>
        <v>0.85910061191916309</v>
      </c>
      <c r="AF29" s="5">
        <f t="shared" si="15"/>
        <v>0.20862880049786914</v>
      </c>
      <c r="AG29" s="5">
        <f t="shared" si="16"/>
        <v>0.48654356303650809</v>
      </c>
      <c r="AH29" s="5">
        <f t="shared" si="17"/>
        <v>0.21233575971600846</v>
      </c>
      <c r="AI29" s="5">
        <f t="shared" si="18"/>
        <v>0.48484372745435744</v>
      </c>
    </row>
    <row r="30" spans="2:35" ht="12" thickBot="1">
      <c r="B30" s="53">
        <v>405</v>
      </c>
      <c r="C30" s="194">
        <f>HLOOKUP($N$54,SpectralData!$B$1:$Z$100,15,FALSE)</f>
        <v>0.33016097259333299</v>
      </c>
      <c r="D30" s="184">
        <v>1</v>
      </c>
      <c r="E30" s="5"/>
      <c r="F30" s="135"/>
      <c r="G30" s="136" t="s">
        <v>30</v>
      </c>
      <c r="H30" s="137">
        <f>SUMPRODUCT(Sample,xObs10,Custom_Illuminant)/SUMPRODUCT(yObs10,Custom_Illuminant)</f>
        <v>0.63414574637366994</v>
      </c>
      <c r="I30" s="138">
        <f>SUMPRODUCT(Sample,yObs10,Custom_Illuminant)/SUMPRODUCT(yObs10,Custom_Illuminant)</f>
        <v>0.64890263321235675</v>
      </c>
      <c r="J30" s="139">
        <f>SUMPRODUCT(Sample,zObs10,Custom_Illuminant)/SUMPRODUCT(yObs10,Custom_Illuminant)</f>
        <v>0.63383427517918489</v>
      </c>
      <c r="K30" s="138">
        <f t="shared" si="21"/>
        <v>0.33082137020606667</v>
      </c>
      <c r="L30" s="140">
        <f t="shared" si="22"/>
        <v>0.33851974798730561</v>
      </c>
      <c r="M30" s="141">
        <f t="shared" si="0"/>
        <v>84.42715692396591</v>
      </c>
      <c r="N30" s="141">
        <f t="shared" si="1"/>
        <v>-3.2906395575391656</v>
      </c>
      <c r="O30" s="142">
        <f t="shared" si="2"/>
        <v>1.3562972782694693</v>
      </c>
      <c r="P30" s="141">
        <f t="shared" si="3"/>
        <v>3.5591924652486449</v>
      </c>
      <c r="Q30" s="141">
        <f t="shared" si="4"/>
        <v>157.60009635604078</v>
      </c>
      <c r="R30" s="141">
        <f t="shared" si="5"/>
        <v>-4.1232292096008347</v>
      </c>
      <c r="S30" s="143">
        <f t="shared" si="6"/>
        <v>2.5457042019686655</v>
      </c>
      <c r="T30" s="141">
        <f t="shared" si="7"/>
        <v>4.8457846628617789</v>
      </c>
      <c r="U30" s="144">
        <f t="shared" si="8"/>
        <v>148.30859172405314</v>
      </c>
      <c r="W30" s="5">
        <f t="shared" si="9"/>
        <v>0.63421633595098226</v>
      </c>
      <c r="X30" s="5">
        <f t="shared" si="10"/>
        <v>0.64890263321235675</v>
      </c>
      <c r="Y30" s="5">
        <f t="shared" si="11"/>
        <v>0.63377307631050772</v>
      </c>
      <c r="Z30" s="5">
        <f t="shared" si="12"/>
        <v>0.85917007367773124</v>
      </c>
      <c r="AA30" s="5">
        <f t="shared" si="13"/>
        <v>0.86575135279280957</v>
      </c>
      <c r="AB30" s="5">
        <f t="shared" si="14"/>
        <v>0.85896986640146222</v>
      </c>
      <c r="AC30" s="5">
        <f>SUMPRODUCT(xObs10,Custom_Illuminant)/SUMPRODUCT(yObs10,Custom_Illuminant)</f>
        <v>0.99988869795161228</v>
      </c>
      <c r="AD30" s="5">
        <f>SUMPRODUCT(yObs10,Custom_Illuminant)/SUMPRODUCT(yObs10,Custom_Illuminant)</f>
        <v>1</v>
      </c>
      <c r="AE30" s="5">
        <f>SUMPRODUCT(zObs10,Custom_Illuminant)/SUMPRODUCT(yObs10,Custom_Illuminant)</f>
        <v>1.0000965627461385</v>
      </c>
      <c r="AF30" s="5">
        <f t="shared" si="15"/>
        <v>0.20674416033095444</v>
      </c>
      <c r="AG30" s="5">
        <f t="shared" si="16"/>
        <v>0.47599919942096391</v>
      </c>
      <c r="AH30" s="5">
        <f t="shared" si="17"/>
        <v>0.21050090743955652</v>
      </c>
      <c r="AI30" s="5">
        <f t="shared" si="18"/>
        <v>0.47367976326693362</v>
      </c>
    </row>
    <row r="31" spans="2:35" ht="12" thickBot="1">
      <c r="B31" s="53">
        <v>410</v>
      </c>
      <c r="C31" s="194">
        <f>HLOOKUP($N$54,SpectralData!$B$1:$Z$100,16,FALSE)</f>
        <v>0.46969987488666598</v>
      </c>
      <c r="D31" s="184">
        <v>1</v>
      </c>
      <c r="E31" s="5"/>
    </row>
    <row r="32" spans="2:35" ht="12">
      <c r="B32" s="53">
        <v>415</v>
      </c>
      <c r="C32" s="194">
        <f>HLOOKUP($N$54,SpectralData!$B$1:$Z$100,17,FALSE)</f>
        <v>0.54320302074666604</v>
      </c>
      <c r="D32" s="184">
        <v>1</v>
      </c>
      <c r="E32" s="5"/>
      <c r="F32" s="298" t="s">
        <v>108</v>
      </c>
      <c r="G32" s="299"/>
      <c r="H32" s="145" t="s">
        <v>114</v>
      </c>
      <c r="I32" s="310" t="s">
        <v>106</v>
      </c>
      <c r="J32" s="311"/>
      <c r="K32" s="312"/>
      <c r="L32" s="291" t="s">
        <v>107</v>
      </c>
      <c r="M32" s="292"/>
      <c r="N32" s="293"/>
      <c r="W32" s="112" t="s">
        <v>113</v>
      </c>
      <c r="X32" s="112"/>
      <c r="Y32" s="112"/>
    </row>
    <row r="33" spans="2:25" ht="12.6" thickBot="1">
      <c r="B33" s="53">
        <v>420</v>
      </c>
      <c r="C33" s="194">
        <f>HLOOKUP($N$54,SpectralData!$B$1:$Z$100,18,FALSE)</f>
        <v>0.57716709391333298</v>
      </c>
      <c r="D33" s="184">
        <v>1</v>
      </c>
      <c r="E33" s="5"/>
      <c r="F33" s="308" t="s">
        <v>109</v>
      </c>
      <c r="G33" s="309"/>
      <c r="H33" s="146" t="s">
        <v>31</v>
      </c>
      <c r="I33" s="17" t="s">
        <v>75</v>
      </c>
      <c r="J33" s="18" t="s">
        <v>76</v>
      </c>
      <c r="K33" s="19" t="s">
        <v>77</v>
      </c>
      <c r="L33" s="147" t="s">
        <v>75</v>
      </c>
      <c r="M33" s="148" t="s">
        <v>76</v>
      </c>
      <c r="N33" s="27" t="s">
        <v>77</v>
      </c>
      <c r="W33" s="112" t="s">
        <v>110</v>
      </c>
      <c r="X33" s="112" t="s">
        <v>111</v>
      </c>
      <c r="Y33" s="112" t="s">
        <v>112</v>
      </c>
    </row>
    <row r="34" spans="2:25">
      <c r="B34" s="53">
        <v>425</v>
      </c>
      <c r="C34" s="194">
        <f>HLOOKUP($N$54,SpectralData!$B$1:$Z$100,19,FALSE)</f>
        <v>0.594719884246666</v>
      </c>
      <c r="D34" s="184">
        <v>1</v>
      </c>
      <c r="E34" s="5"/>
      <c r="F34" s="149" t="s">
        <v>84</v>
      </c>
      <c r="G34" s="55"/>
      <c r="H34" s="150" t="s">
        <v>103</v>
      </c>
      <c r="I34" s="151">
        <f>IF(W34&lt;0,-POWER(-W34,1/References!$BQ3),POWER(W34,1/References!$BQ3))</f>
        <v>0.80824344451538221</v>
      </c>
      <c r="J34" s="151">
        <f>IF(X34&lt;0,-POWER(-X34,1/References!$BQ3),POWER(X34,1/References!$BQ3))</f>
        <v>0.82747842537522043</v>
      </c>
      <c r="K34" s="151">
        <f>IF(Y34&lt;0,-POWER(-Y34,1/References!$BQ3),POWER(Y34,1/References!$BQ3))</f>
        <v>0.81824860115748432</v>
      </c>
      <c r="L34" s="152">
        <f>ROUND(255*I34,0)</f>
        <v>206</v>
      </c>
      <c r="M34" s="152">
        <f>ROUND(255*J34,0)</f>
        <v>211</v>
      </c>
      <c r="N34" s="153">
        <f>ROUND(255*K34,0)</f>
        <v>209</v>
      </c>
      <c r="W34" s="5">
        <f>D65_X*References!BH3+D65_Y*References!BK3+D65_Z*References!BN3</f>
        <v>0.62602664751559234</v>
      </c>
      <c r="X34" s="5">
        <f>D65_X*References!BI3+D65_Y*References!BL3+D65_Z*References!BO3</f>
        <v>0.65927209623758076</v>
      </c>
      <c r="Y34" s="5">
        <f>D65_X*References!BJ3+D65_Y*References!BM3+D65_Z*References!BP3</f>
        <v>0.64320231280575202</v>
      </c>
    </row>
    <row r="35" spans="2:25">
      <c r="B35" s="53">
        <v>430</v>
      </c>
      <c r="C35" s="194">
        <f>HLOOKUP($N$54,SpectralData!$B$1:$Z$100,20,FALSE)</f>
        <v>0.605756050106666</v>
      </c>
      <c r="D35" s="184">
        <v>1</v>
      </c>
      <c r="E35" s="5"/>
      <c r="F35" s="149" t="s">
        <v>85</v>
      </c>
      <c r="G35" s="55"/>
      <c r="H35" s="150" t="s">
        <v>103</v>
      </c>
      <c r="I35" s="151">
        <f>IF(W35&lt;0,-POWER(-W35,1/References!$BQ4),POWER(W35,1/References!$BQ4))</f>
        <v>0.76403463831440444</v>
      </c>
      <c r="J35" s="151">
        <f>IF(X35&lt;0,-POWER(-X35,1/References!$BQ4),POWER(X35,1/References!$BQ4))</f>
        <v>0.79429659423653787</v>
      </c>
      <c r="K35" s="151">
        <f>IF(Y35&lt;0,-POWER(-Y35,1/References!$BQ4),POWER(Y35,1/References!$BQ4))</f>
        <v>0.78176153121557768</v>
      </c>
      <c r="L35" s="152">
        <f t="shared" ref="L35:L49" si="23">ROUND(255*I35,0)</f>
        <v>195</v>
      </c>
      <c r="M35" s="152">
        <f t="shared" ref="M35:M49" si="24">ROUND(255*J35,0)</f>
        <v>203</v>
      </c>
      <c r="N35" s="153">
        <f t="shared" ref="N35:N49" si="25">ROUND(255*K35,0)</f>
        <v>199</v>
      </c>
      <c r="W35" s="5">
        <f>D65_X*References!BH4+D65_Y*References!BK4+D65_Z*References!BN4</f>
        <v>0.61603230421024513</v>
      </c>
      <c r="X35" s="5">
        <f>D65_X*References!BI4+D65_Y*References!BL4+D65_Z*References!BO4</f>
        <v>0.66064607742184611</v>
      </c>
      <c r="Y35" s="5">
        <f>D65_X*References!BJ4+D65_Y*References!BM4+D65_Z*References!BP4</f>
        <v>0.64199808508693401</v>
      </c>
    </row>
    <row r="36" spans="2:25">
      <c r="B36" s="53">
        <v>435</v>
      </c>
      <c r="C36" s="194">
        <f>HLOOKUP($N$54,SpectralData!$B$1:$Z$100,21,FALSE)</f>
        <v>0.61441666667999995</v>
      </c>
      <c r="D36" s="184">
        <v>1</v>
      </c>
      <c r="E36" s="5"/>
      <c r="F36" s="149" t="s">
        <v>86</v>
      </c>
      <c r="G36" s="55"/>
      <c r="H36" s="150" t="s">
        <v>102</v>
      </c>
      <c r="I36" s="151">
        <f>IF(W36&lt;0,-POWER(-W36,1/References!$BQ5),POWER(W36,1/References!$BQ5))</f>
        <v>0.80977217205670415</v>
      </c>
      <c r="J36" s="151">
        <f>IF(X36&lt;0,-POWER(-X36,1/References!$BQ5),POWER(X36,1/References!$BQ5))</f>
        <v>0.82362105901898752</v>
      </c>
      <c r="K36" s="151">
        <f>IF(Y36&lt;0,-POWER(-Y36,1/References!$BQ5),POWER(Y36,1/References!$BQ5))</f>
        <v>0.8206678178195963</v>
      </c>
      <c r="L36" s="152">
        <f t="shared" si="23"/>
        <v>206</v>
      </c>
      <c r="M36" s="152">
        <f t="shared" si="24"/>
        <v>210</v>
      </c>
      <c r="N36" s="153">
        <f t="shared" si="25"/>
        <v>209</v>
      </c>
      <c r="W36" s="5">
        <f>D50_X*References!BH5+D50_Y*References!BK5+D50_Z*References!BN5</f>
        <v>0.6286345781875472</v>
      </c>
      <c r="X36" s="5">
        <f>D50_X*References!BI5+D50_Y*References!BL5+D50_Z*References!BO5</f>
        <v>0.652529835257188</v>
      </c>
      <c r="Y36" s="5">
        <f>D50_X*References!BJ5+D50_Y*References!BM5+D50_Z*References!BP5</f>
        <v>0.64739342856413573</v>
      </c>
    </row>
    <row r="37" spans="2:25">
      <c r="B37" s="53">
        <v>440</v>
      </c>
      <c r="C37" s="194">
        <f>HLOOKUP($N$54,SpectralData!$B$1:$Z$100,22,FALSE)</f>
        <v>0.62329709878666595</v>
      </c>
      <c r="D37" s="184">
        <v>1</v>
      </c>
      <c r="E37" s="5"/>
      <c r="F37" s="154" t="s">
        <v>87</v>
      </c>
      <c r="G37" s="67"/>
      <c r="H37" s="155" t="s">
        <v>102</v>
      </c>
      <c r="I37" s="128">
        <f>IF(W37&lt;0,-POWER(-W37,1/References!$BQ6),POWER(W37,1/References!$BQ6))</f>
        <v>0.81021404329473379</v>
      </c>
      <c r="J37" s="128">
        <f>IF(X37&lt;0,-POWER(-X37,1/References!$BQ6),POWER(X37,1/References!$BQ6))</f>
        <v>0.82497215927276335</v>
      </c>
      <c r="K37" s="128">
        <f>IF(Y37&lt;0,-POWER(-Y37,1/References!$BQ6),POWER(Y37,1/References!$BQ6))</f>
        <v>0.82047710782496475</v>
      </c>
      <c r="L37" s="156">
        <f t="shared" si="23"/>
        <v>207</v>
      </c>
      <c r="M37" s="156">
        <f t="shared" si="24"/>
        <v>210</v>
      </c>
      <c r="N37" s="157">
        <f t="shared" si="25"/>
        <v>209</v>
      </c>
      <c r="W37" s="5">
        <f>D50_X*References!BH6+D50_Y*References!BK6+D50_Z*References!BN6</f>
        <v>0.62938948962261998</v>
      </c>
      <c r="X37" s="5">
        <f>D50_X*References!BI6+D50_Y*References!BL6+D50_Z*References!BO6</f>
        <v>0.65488711152566614</v>
      </c>
      <c r="Y37" s="5">
        <f>D50_X*References!BJ6+D50_Y*References!BM6+D50_Z*References!BP6</f>
        <v>0.64706249831877316</v>
      </c>
    </row>
    <row r="38" spans="2:25">
      <c r="B38" s="53">
        <v>445</v>
      </c>
      <c r="C38" s="194">
        <f>HLOOKUP($N$54,SpectralData!$B$1:$Z$100,23,FALSE)</f>
        <v>0.63251224771333303</v>
      </c>
      <c r="D38" s="184">
        <v>1</v>
      </c>
      <c r="E38" s="5"/>
      <c r="F38" s="149" t="s">
        <v>88</v>
      </c>
      <c r="G38" s="55"/>
      <c r="H38" s="150" t="s">
        <v>103</v>
      </c>
      <c r="I38" s="151">
        <f>IF(W38&lt;0,-POWER(-W38,1/References!$BQ7),POWER(W38,1/References!$BQ7))</f>
        <v>0.80366612391465442</v>
      </c>
      <c r="J38" s="151">
        <f>IF(X38&lt;0,-POWER(-X38,1/References!$BQ7),POWER(X38,1/References!$BQ7))</f>
        <v>0.82747877020706306</v>
      </c>
      <c r="K38" s="151">
        <f>IF(Y38&lt;0,-POWER(-Y38,1/References!$BQ7),POWER(Y38,1/References!$BQ7))</f>
        <v>0.81826721973166161</v>
      </c>
      <c r="L38" s="152">
        <f t="shared" si="23"/>
        <v>205</v>
      </c>
      <c r="M38" s="152">
        <f t="shared" si="24"/>
        <v>211</v>
      </c>
      <c r="N38" s="153">
        <f t="shared" si="25"/>
        <v>209</v>
      </c>
      <c r="W38" s="5">
        <f>D65_X*References!BH7+D65_Y*References!BK7+D65_Z*References!BN7</f>
        <v>0.61825332000512967</v>
      </c>
      <c r="X38" s="5">
        <f>D65_X*References!BI7+D65_Y*References!BL7+D65_Z*References!BO7</f>
        <v>0.65927270065666344</v>
      </c>
      <c r="Y38" s="5">
        <f>D65_X*References!BJ7+D65_Y*References!BM7+D65_Z*References!BP7</f>
        <v>0.64323451143290789</v>
      </c>
    </row>
    <row r="39" spans="2:25">
      <c r="B39" s="53">
        <v>450</v>
      </c>
      <c r="C39" s="194">
        <f>HLOOKUP($N$54,SpectralData!$B$1:$Z$100,24,FALSE)</f>
        <v>0.64343820189333301</v>
      </c>
      <c r="D39" s="184">
        <v>1</v>
      </c>
      <c r="E39" s="5"/>
      <c r="F39" s="149" t="s">
        <v>89</v>
      </c>
      <c r="G39" s="55"/>
      <c r="H39" s="150" t="s">
        <v>9</v>
      </c>
      <c r="I39" s="151">
        <f>IF(W39&lt;0,-POWER(-W39,1/References!$BQ8),POWER(W39,1/References!$BQ8))</f>
        <v>0.80554549163238409</v>
      </c>
      <c r="J39" s="151">
        <f>IF(X39&lt;0,-POWER(-X39,1/References!$BQ8),POWER(X39,1/References!$BQ8))</f>
        <v>0.82372126129827061</v>
      </c>
      <c r="K39" s="151">
        <f>IF(Y39&lt;0,-POWER(-Y39,1/References!$BQ8),POWER(Y39,1/References!$BQ8))</f>
        <v>0.8161510115488293</v>
      </c>
      <c r="L39" s="152">
        <f t="shared" si="23"/>
        <v>205</v>
      </c>
      <c r="M39" s="152">
        <f t="shared" si="24"/>
        <v>210</v>
      </c>
      <c r="N39" s="153">
        <f t="shared" si="25"/>
        <v>208</v>
      </c>
      <c r="W39" s="5">
        <f>E_X*References!BH8+E_Y*References!BK8+E_Z*References!BN8</f>
        <v>0.62143850207856088</v>
      </c>
      <c r="X39" s="5">
        <f>E_X*References!BI8+E_Y*References!BL8+E_Z*References!BO8</f>
        <v>0.65270449986509604</v>
      </c>
      <c r="Y39" s="5">
        <f>E_X*References!BJ8+E_Y*References!BM8+E_Z*References!BP8</f>
        <v>0.63958040710952935</v>
      </c>
    </row>
    <row r="40" spans="2:25">
      <c r="B40" s="53">
        <v>455</v>
      </c>
      <c r="C40" s="194">
        <f>HLOOKUP($N$54,SpectralData!$B$1:$Z$100,25,FALSE)</f>
        <v>0.65461263020000005</v>
      </c>
      <c r="D40" s="184">
        <v>1</v>
      </c>
      <c r="E40" s="5"/>
      <c r="F40" s="149" t="s">
        <v>90</v>
      </c>
      <c r="G40" s="55"/>
      <c r="H40" s="150" t="s">
        <v>102</v>
      </c>
      <c r="I40" s="151">
        <f>IF(W40&lt;0,-POWER(-W40,1/References!$BQ9),POWER(W40,1/References!$BQ9))</f>
        <v>0.76635314124162202</v>
      </c>
      <c r="J40" s="151">
        <f>IF(X40&lt;0,-POWER(-X40,1/References!$BQ9),POWER(X40,1/References!$BQ9))</f>
        <v>0.79279213217391475</v>
      </c>
      <c r="K40" s="151">
        <f>IF(Y40&lt;0,-POWER(-Y40,1/References!$BQ9),POWER(Y40,1/References!$BQ9))</f>
        <v>0.78494699841683668</v>
      </c>
      <c r="L40" s="152">
        <f t="shared" si="23"/>
        <v>195</v>
      </c>
      <c r="M40" s="152">
        <f t="shared" si="24"/>
        <v>202</v>
      </c>
      <c r="N40" s="153">
        <f t="shared" si="25"/>
        <v>200</v>
      </c>
      <c r="W40" s="5">
        <f>D50_X*References!BH9+D50_Y*References!BK9+D50_Z*References!BN9</f>
        <v>0.61940127559208369</v>
      </c>
      <c r="X40" s="5">
        <f>D50_X*References!BI9+D50_Y*References!BL9+D50_Z*References!BO9</f>
        <v>0.65839541321449579</v>
      </c>
      <c r="Y40" s="5">
        <f>D50_X*References!BJ9+D50_Y*References!BM9+D50_Z*References!BP9</f>
        <v>0.64671450174689216</v>
      </c>
    </row>
    <row r="41" spans="2:25">
      <c r="B41" s="53">
        <v>460</v>
      </c>
      <c r="C41" s="194">
        <f>HLOOKUP($N$54,SpectralData!$B$1:$Z$100,26,FALSE)</f>
        <v>0.66439298501999999</v>
      </c>
      <c r="D41" s="184">
        <v>1</v>
      </c>
      <c r="E41" s="5"/>
      <c r="F41" s="154" t="s">
        <v>91</v>
      </c>
      <c r="G41" s="158"/>
      <c r="H41" s="155" t="s">
        <v>102</v>
      </c>
      <c r="I41" s="128">
        <f>IF(W41&lt;0,-POWER(-W41,1/References!$BQ10),POWER(W41,1/References!$BQ10))</f>
        <v>0.80974080403854509</v>
      </c>
      <c r="J41" s="128">
        <f>IF(X41&lt;0,-POWER(-X41,1/References!$BQ10),POWER(X41,1/References!$BQ10))</f>
        <v>0.82462337064085922</v>
      </c>
      <c r="K41" s="128">
        <f>IF(Y41&lt;0,-POWER(-Y41,1/References!$BQ10),POWER(Y41,1/References!$BQ10))</f>
        <v>0.82066147850493587</v>
      </c>
      <c r="L41" s="156">
        <f t="shared" si="23"/>
        <v>206</v>
      </c>
      <c r="M41" s="156">
        <f t="shared" si="24"/>
        <v>210</v>
      </c>
      <c r="N41" s="157">
        <f t="shared" si="25"/>
        <v>209</v>
      </c>
      <c r="W41" s="5">
        <f>D50_X*References!BH10+D50_Y*References!BK10+D50_Z*References!BN10</f>
        <v>0.62858100652984528</v>
      </c>
      <c r="X41" s="5">
        <f>D50_X*References!BI10+D50_Y*References!BL10+D50_Z*References!BO10</f>
        <v>0.65427813300677051</v>
      </c>
      <c r="Y41" s="5">
        <f>D50_X*References!BJ10+D50_Y*References!BM10+D50_Z*References!BP10</f>
        <v>0.64738242676122171</v>
      </c>
    </row>
    <row r="42" spans="2:25">
      <c r="B42" s="53">
        <v>465</v>
      </c>
      <c r="C42" s="194">
        <f>HLOOKUP($N$54,SpectralData!$B$1:$Z$100,27,FALSE)</f>
        <v>0.67386260988000002</v>
      </c>
      <c r="D42" s="184">
        <v>1</v>
      </c>
      <c r="E42" s="5"/>
      <c r="F42" s="159" t="s">
        <v>123</v>
      </c>
      <c r="G42" s="160"/>
      <c r="H42" s="150" t="s">
        <v>102</v>
      </c>
      <c r="I42" s="151">
        <f>IF(W42&lt;0,IF(W42&gt;=(-216/24389),W42*216/2438900,-(1.16*POWER(-W42,1/3)-0.16)),IF(W42&lt;=(216/24389),W42*216/2438900,1.16*POWER(W42,1/3)-0.16))</f>
        <v>0.83355064639491072</v>
      </c>
      <c r="J42" s="151">
        <f>IF(X42&lt;0,IF(X42&gt;=(-216/24389),X42*216/2438900,-(1.16*POWER(-X42,1/3)-0.16)),IF(X42&lt;=(216/24389),X42*216/2438900,1.16*POWER(X42,1/3)-0.16))</f>
        <v>0.84833012916935935</v>
      </c>
      <c r="K42" s="151">
        <f>IF(Y42&lt;0,IF(Y42&gt;=(-216/24389),Y42*216/2438900,-(1.16*POWER(-Y42,1/3)-0.16)),IF(Y42&lt;=(216/24389),Y42*216/2438900,1.16*POWER(Y42,1/3)-0.16))</f>
        <v>0.84308994680292393</v>
      </c>
      <c r="L42" s="152">
        <f t="shared" si="23"/>
        <v>213</v>
      </c>
      <c r="M42" s="152">
        <f t="shared" si="24"/>
        <v>216</v>
      </c>
      <c r="N42" s="153">
        <f t="shared" si="25"/>
        <v>215</v>
      </c>
      <c r="W42" s="5">
        <f>D50_X*References!BH11+D50_Y*References!BK11+D50_Z*References!BN11</f>
        <v>0.6283419609090195</v>
      </c>
      <c r="X42" s="5">
        <f>D50_X*References!BI11+D50_Y*References!BL11+D50_Z*References!BO11</f>
        <v>0.65680169511641973</v>
      </c>
      <c r="Y42" s="5">
        <f>D50_X*References!BJ11+D50_Y*References!BM11+D50_Z*References!BP11</f>
        <v>0.64661483739122383</v>
      </c>
    </row>
    <row r="43" spans="2:25">
      <c r="B43" s="53">
        <v>470</v>
      </c>
      <c r="C43" s="194">
        <f>HLOOKUP($N$54,SpectralData!$B$1:$Z$100,28,FALSE)</f>
        <v>0.68189859008666598</v>
      </c>
      <c r="D43" s="184">
        <v>1</v>
      </c>
      <c r="E43" s="5"/>
      <c r="F43" s="159" t="s">
        <v>93</v>
      </c>
      <c r="G43" s="160"/>
      <c r="H43" s="150" t="s">
        <v>102</v>
      </c>
      <c r="I43" s="151">
        <f>IF(W43&lt;0,-POWER(-W43,1/References!$BQ12),POWER(W43,1/References!$BQ12))</f>
        <v>0.80826447503856502</v>
      </c>
      <c r="J43" s="151">
        <f>IF(X43&lt;0,-POWER(-X43,1/References!$BQ12),POWER(X43,1/References!$BQ12))</f>
        <v>0.82462389951083681</v>
      </c>
      <c r="K43" s="151">
        <f>IF(Y43&lt;0,-POWER(-Y43,1/References!$BQ12),POWER(Y43,1/References!$BQ12))</f>
        <v>0.82048844562769363</v>
      </c>
      <c r="L43" s="152">
        <f t="shared" si="23"/>
        <v>206</v>
      </c>
      <c r="M43" s="152">
        <f t="shared" si="24"/>
        <v>210</v>
      </c>
      <c r="N43" s="153">
        <f t="shared" si="25"/>
        <v>209</v>
      </c>
      <c r="W43" s="5">
        <f>D50_X*References!BH12+D50_Y*References!BK12+D50_Z*References!BN12</f>
        <v>0.62606248439348255</v>
      </c>
      <c r="X43" s="5">
        <f>D50_X*References!BI12+D50_Y*References!BL12+D50_Z*References!BO12</f>
        <v>0.65427905617006599</v>
      </c>
      <c r="Y43" s="5">
        <f>D50_X*References!BJ12+D50_Y*References!BM12+D50_Z*References!BP12</f>
        <v>0.64708216970384091</v>
      </c>
    </row>
    <row r="44" spans="2:25">
      <c r="B44" s="53">
        <v>475</v>
      </c>
      <c r="C44" s="194">
        <f>HLOOKUP($N$54,SpectralData!$B$1:$Z$100,29,FALSE)</f>
        <v>0.68873086039999998</v>
      </c>
      <c r="D44" s="184">
        <v>1</v>
      </c>
      <c r="E44" s="5"/>
      <c r="F44" s="159" t="s">
        <v>94</v>
      </c>
      <c r="G44" s="160"/>
      <c r="H44" s="150" t="s">
        <v>8</v>
      </c>
      <c r="I44" s="151">
        <f>IF(W44&lt;0,-POWER(-W44,1/References!$BQ13),POWER(W44,1/References!$BQ13))</f>
        <v>0.80863490700573437</v>
      </c>
      <c r="J44" s="151">
        <f>IF(X44&lt;0,-POWER(-X44,1/References!$BQ13),POWER(X44,1/References!$BQ13))</f>
        <v>0.82748295325836962</v>
      </c>
      <c r="K44" s="151">
        <f>IF(Y44&lt;0,-POWER(-Y44,1/References!$BQ13),POWER(Y44,1/References!$BQ13))</f>
        <v>0.81879929042412924</v>
      </c>
      <c r="L44" s="152">
        <f t="shared" si="23"/>
        <v>206</v>
      </c>
      <c r="M44" s="152">
        <f t="shared" si="24"/>
        <v>211</v>
      </c>
      <c r="N44" s="153">
        <f t="shared" si="25"/>
        <v>209</v>
      </c>
      <c r="W44" s="5">
        <f>C_X*References!BH13+C_Y*References!BK13+C_Z*References!BN13</f>
        <v>0.62669389916681317</v>
      </c>
      <c r="X44" s="5">
        <f>C_X*References!BI13+C_Y*References!BL13+C_Z*References!BO13</f>
        <v>0.65928003270673008</v>
      </c>
      <c r="Y44" s="5">
        <f>C_X*References!BJ13+C_Y*References!BM13+C_Z*References!BP13</f>
        <v>0.6441550364897809</v>
      </c>
    </row>
    <row r="45" spans="2:25">
      <c r="B45" s="53">
        <v>480</v>
      </c>
      <c r="C45" s="194">
        <f>HLOOKUP($N$54,SpectralData!$B$1:$Z$100,30,FALSE)</f>
        <v>0.694493347159999</v>
      </c>
      <c r="D45" s="184">
        <v>1</v>
      </c>
      <c r="E45" s="5"/>
      <c r="F45" s="161" t="s">
        <v>95</v>
      </c>
      <c r="G45" s="158"/>
      <c r="H45" s="155" t="s">
        <v>103</v>
      </c>
      <c r="I45" s="128">
        <f>IF(W45&lt;0,-POWER(-W45,1/References!$BQ14),POWER(W45,1/References!$BQ14))</f>
        <v>0.80159135065556408</v>
      </c>
      <c r="J45" s="128">
        <f>IF(X45&lt;0,-POWER(-X45,1/References!$BQ14),POWER(X45,1/References!$BQ14))</f>
        <v>0.82747842537522043</v>
      </c>
      <c r="K45" s="128">
        <f>IF(Y45&lt;0,-POWER(-Y45,1/References!$BQ14),POWER(Y45,1/References!$BQ14))</f>
        <v>0.81773191008893464</v>
      </c>
      <c r="L45" s="156">
        <f t="shared" si="23"/>
        <v>204</v>
      </c>
      <c r="M45" s="156">
        <f t="shared" si="24"/>
        <v>211</v>
      </c>
      <c r="N45" s="157">
        <f t="shared" si="25"/>
        <v>209</v>
      </c>
      <c r="W45" s="5">
        <f>D65_X*References!BH14+D65_Y*References!BK14+D65_Z*References!BN14</f>
        <v>0.61474732738241444</v>
      </c>
      <c r="X45" s="5">
        <f>D65_X*References!BI14+D65_Y*References!BL14+D65_Z*References!BO14</f>
        <v>0.65927209623758076</v>
      </c>
      <c r="Y45" s="5">
        <f>D65_X*References!BJ14+D65_Y*References!BM14+D65_Z*References!BP14</f>
        <v>0.64230910729638868</v>
      </c>
    </row>
    <row r="46" spans="2:25">
      <c r="B46" s="53">
        <v>485</v>
      </c>
      <c r="C46" s="194">
        <f>HLOOKUP($N$54,SpectralData!$B$1:$Z$100,31,FALSE)</f>
        <v>0.69764160665333297</v>
      </c>
      <c r="D46" s="184">
        <v>1</v>
      </c>
      <c r="E46" s="5"/>
      <c r="F46" s="159" t="s">
        <v>96</v>
      </c>
      <c r="G46" s="160"/>
      <c r="H46" s="150" t="s">
        <v>102</v>
      </c>
      <c r="I46" s="151">
        <f>IF(W46&lt;0,-POWER(-W46,1/References!$BQ15),POWER(W46,1/References!$BQ15))</f>
        <v>0.77562533887492058</v>
      </c>
      <c r="J46" s="151">
        <f>IF(X46&lt;0,-POWER(-X46,1/References!$BQ15),POWER(X46,1/References!$BQ15))</f>
        <v>0.78886420075345598</v>
      </c>
      <c r="K46" s="151">
        <f>IF(Y46&lt;0,-POWER(-Y46,1/References!$BQ15),POWER(Y46,1/References!$BQ15))</f>
        <v>0.78544214994698824</v>
      </c>
      <c r="L46" s="152">
        <f t="shared" si="23"/>
        <v>198</v>
      </c>
      <c r="M46" s="152">
        <f t="shared" si="24"/>
        <v>201</v>
      </c>
      <c r="N46" s="153">
        <f t="shared" si="25"/>
        <v>200</v>
      </c>
      <c r="W46" s="5">
        <f>D50_X*References!BH15+D50_Y*References!BK15+D50_Z*References!BN15</f>
        <v>0.63295608513925805</v>
      </c>
      <c r="X46" s="5">
        <f>D50_X*References!BI15+D50_Y*References!BL15+D50_Z*References!BO15</f>
        <v>0.65253535360903447</v>
      </c>
      <c r="Y46" s="5">
        <f>D50_X*References!BJ15+D50_Y*References!BM15+D50_Z*References!BP15</f>
        <v>0.64744900286517504</v>
      </c>
    </row>
    <row r="47" spans="2:25">
      <c r="B47" s="53">
        <v>490</v>
      </c>
      <c r="C47" s="194">
        <f>HLOOKUP($N$54,SpectralData!$B$1:$Z$100,32,FALSE)</f>
        <v>0.69784424335999895</v>
      </c>
      <c r="D47" s="184">
        <v>1</v>
      </c>
      <c r="E47" s="5"/>
      <c r="F47" s="159" t="s">
        <v>97</v>
      </c>
      <c r="G47" s="160"/>
      <c r="H47" s="150" t="s">
        <v>103</v>
      </c>
      <c r="I47" s="151">
        <f>IF(W47&lt;0,-POWER(-W47,1/References!$BQ16),POWER(W47,1/References!$BQ16))</f>
        <v>0.79871881782926868</v>
      </c>
      <c r="J47" s="151">
        <f>IF(X47&lt;0,-POWER(-X47,1/References!$BQ16),POWER(X47,1/References!$BQ16))</f>
        <v>0.82816251734344604</v>
      </c>
      <c r="K47" s="151">
        <f>IF(Y47&lt;0,-POWER(-Y47,1/References!$BQ16),POWER(Y47,1/References!$BQ16))</f>
        <v>0.81786273191539072</v>
      </c>
      <c r="L47" s="152">
        <f t="shared" si="23"/>
        <v>204</v>
      </c>
      <c r="M47" s="152">
        <f t="shared" si="24"/>
        <v>211</v>
      </c>
      <c r="N47" s="153">
        <f t="shared" si="25"/>
        <v>209</v>
      </c>
      <c r="W47" s="5">
        <f>D65_X*References!BH16+D65_Y*References!BK16+D65_Z*References!BN16</f>
        <v>0.60991121104046009</v>
      </c>
      <c r="X47" s="5">
        <f>D65_X*References!BI16+D65_Y*References!BL16+D65_Z*References!BO16</f>
        <v>0.66047176284267262</v>
      </c>
      <c r="Y47" s="5">
        <f>D65_X*References!BJ16+D65_Y*References!BM16+D65_Z*References!BP16</f>
        <v>0.64253519539910919</v>
      </c>
    </row>
    <row r="48" spans="2:25">
      <c r="B48" s="65">
        <v>495</v>
      </c>
      <c r="C48" s="194">
        <f>HLOOKUP($N$54,SpectralData!$B$1:$Z$100,33,FALSE)</f>
        <v>0.69609155781999899</v>
      </c>
      <c r="D48" s="185">
        <v>1</v>
      </c>
      <c r="E48" s="5"/>
      <c r="F48" s="159" t="s">
        <v>98</v>
      </c>
      <c r="G48" s="160"/>
      <c r="H48" s="150" t="s">
        <v>103</v>
      </c>
      <c r="I48" s="151">
        <f>IF(W48&lt;0,IF(W48&gt;=-0.0031308,W48*12.92,-(1.055*POWER(-W48,1/References!$BQ17)-0.055)),IF(W48&lt;=0.0031308,W48*12.92,1.055*POWER(W48,1/References!$BQ17)-0.055))</f>
        <v>0.80526063409998216</v>
      </c>
      <c r="J48" s="151">
        <f>IF(X48&lt;0,IF(X48&gt;=-0.0031308,X48*12.92,-(1.055*POWER(-X48,1/References!$BQ17)-0.055)),IF(X48&lt;=0.0031308,X48*12.92,1.055*POWER(X48,1/References!$BQ17)-0.055))</f>
        <v>0.83187568663191658</v>
      </c>
      <c r="K48" s="151">
        <f>IF(Y48&lt;0,IF(Y48&gt;=-0.0031308,Y48*12.92,-(1.055*POWER(-Y48,1/References!$BQ17)-0.055)),IF(Y48&lt;=0.0031308,Y48*12.92,1.055*POWER(Y48,1/References!$BQ17)-0.055))</f>
        <v>0.82240935930906378</v>
      </c>
      <c r="L48" s="152">
        <f t="shared" si="23"/>
        <v>205</v>
      </c>
      <c r="M48" s="152">
        <f t="shared" si="24"/>
        <v>212</v>
      </c>
      <c r="N48" s="153">
        <f t="shared" si="25"/>
        <v>210</v>
      </c>
      <c r="W48" s="5">
        <f>D65_X*References!BH17+D65_Y*References!BK17+D65_Z*References!BN17</f>
        <v>0.61278230586864435</v>
      </c>
      <c r="X48" s="5">
        <f>D65_X*References!BI17+D65_Y*References!BL17+D65_Z*References!BO17</f>
        <v>0.65927209623758076</v>
      </c>
      <c r="Y48" s="5">
        <f>D65_X*References!BJ17+D65_Y*References!BM17+D65_Z*References!BP17</f>
        <v>0.64250946144540977</v>
      </c>
    </row>
    <row r="49" spans="2:25" ht="12" thickBot="1">
      <c r="B49" s="53">
        <v>500</v>
      </c>
      <c r="C49" s="256">
        <f>HLOOKUP($N$54,SpectralData!$B$1:$Z$100,34,FALSE)</f>
        <v>0.69316051227999997</v>
      </c>
      <c r="D49" s="184">
        <v>1</v>
      </c>
      <c r="E49" s="5"/>
      <c r="F49" s="162" t="s">
        <v>99</v>
      </c>
      <c r="G49" s="163"/>
      <c r="H49" s="164" t="s">
        <v>102</v>
      </c>
      <c r="I49" s="137">
        <f>IF(W49&lt;0,-POWER(-W49,1/References!$BQ18),POWER(W49,1/References!$BQ18))</f>
        <v>0.8115355278809</v>
      </c>
      <c r="J49" s="137">
        <f>IF(X49&lt;0,-POWER(-X49,1/References!$BQ18),POWER(X49,1/References!$BQ18))</f>
        <v>0.82350128750409657</v>
      </c>
      <c r="K49" s="138">
        <f>IF(Y49&lt;0,-POWER(-Y49,1/References!$BQ18),POWER(Y49,1/References!$BQ18))</f>
        <v>0.82051281121892061</v>
      </c>
      <c r="L49" s="165">
        <f t="shared" si="23"/>
        <v>207</v>
      </c>
      <c r="M49" s="165">
        <f t="shared" si="24"/>
        <v>210</v>
      </c>
      <c r="N49" s="166">
        <f t="shared" si="25"/>
        <v>209</v>
      </c>
      <c r="W49" s="5">
        <f>D50_X*References!BH18+D50_Y*References!BK18+D50_Z*References!BN18</f>
        <v>0.63165011890889888</v>
      </c>
      <c r="X49" s="5">
        <f>D50_X*References!BI18+D50_Y*References!BL18+D50_Z*References!BO18</f>
        <v>0.65232109257481719</v>
      </c>
      <c r="Y49" s="5">
        <f>D50_X*References!BJ18+D50_Y*References!BM18+D50_Z*References!BP18</f>
        <v>0.64712444574736783</v>
      </c>
    </row>
    <row r="50" spans="2:25" ht="12" thickBot="1">
      <c r="B50" s="53">
        <v>505</v>
      </c>
      <c r="C50" s="194">
        <f>HLOOKUP($N$54,SpectralData!$B$1:$Z$100,35,FALSE)</f>
        <v>0.68986321005999895</v>
      </c>
      <c r="D50" s="184">
        <v>1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</row>
    <row r="51" spans="2:25" ht="12.6" thickBot="1">
      <c r="B51" s="53">
        <v>510</v>
      </c>
      <c r="C51" s="194">
        <f>HLOOKUP($N$54,SpectralData!$B$1:$Z$100,36,FALSE)</f>
        <v>0.68656285094000002</v>
      </c>
      <c r="D51" s="184">
        <v>1</v>
      </c>
      <c r="E51" s="5"/>
      <c r="F51" s="167" t="s">
        <v>82</v>
      </c>
      <c r="G51" s="168" t="s">
        <v>75</v>
      </c>
      <c r="H51" s="169" t="s">
        <v>76</v>
      </c>
      <c r="I51" s="168" t="s">
        <v>77</v>
      </c>
      <c r="J51" s="170" t="s">
        <v>72</v>
      </c>
      <c r="K51" s="5"/>
      <c r="L51" s="5"/>
      <c r="M51" s="5"/>
    </row>
    <row r="52" spans="2:25" ht="12" customHeight="1">
      <c r="B52" s="53">
        <v>515</v>
      </c>
      <c r="C52" s="194">
        <f>HLOOKUP($N$54,SpectralData!$B$1:$Z$100,37,FALSE)</f>
        <v>0.68237474568666601</v>
      </c>
      <c r="D52" s="184">
        <v>1</v>
      </c>
      <c r="E52" s="5"/>
      <c r="F52" s="171" t="s">
        <v>78</v>
      </c>
      <c r="G52" s="172">
        <f>-LOG10(SUMPRODUCT(Sample,Den_StatusA_R)/SUM(Den_StatusA_R))</f>
        <v>0.20748862893550948</v>
      </c>
      <c r="H52" s="173">
        <f>-LOG10(SUMPRODUCT(Sample,Den_StatusA_G)/SUM(Den_StatusA_G))</f>
        <v>0.18639175398481686</v>
      </c>
      <c r="I52" s="172">
        <f>-LOG10(SUMPRODUCT(Sample,Den_StatusA_B)/SUM(Den_StatusA_B))</f>
        <v>0.19872732995400857</v>
      </c>
      <c r="J52" s="174" t="s">
        <v>83</v>
      </c>
      <c r="K52" s="5"/>
      <c r="L52" s="5"/>
      <c r="M52" s="5"/>
    </row>
    <row r="53" spans="2:25" ht="12.75" customHeight="1" thickBot="1">
      <c r="B53" s="53">
        <v>520</v>
      </c>
      <c r="C53" s="194">
        <f>HLOOKUP($N$54,SpectralData!$B$1:$Z$100,38,FALSE)</f>
        <v>0.67555086263333297</v>
      </c>
      <c r="D53" s="184">
        <v>1</v>
      </c>
      <c r="E53" s="5"/>
      <c r="F53" s="171" t="s">
        <v>79</v>
      </c>
      <c r="G53" s="172">
        <f>-LOG10(SUMPRODUCT(Sample,Den_StatusE_R)/SUM(Den_StatusE_R))</f>
        <v>0.19416643031762867</v>
      </c>
      <c r="H53" s="173">
        <f>-LOG10(SUMPRODUCT(Sample,Den_StatusE_G)/SUM(Den_StatusE_G))</f>
        <v>0.18231769556289212</v>
      </c>
      <c r="I53" s="172">
        <f>-LOG10(SUMPRODUCT(Sample,Den_StatusE_B)/SUM(Den_StatusE_B))</f>
        <v>0.21485794757460616</v>
      </c>
      <c r="J53" s="174" t="s">
        <v>83</v>
      </c>
      <c r="K53" s="5"/>
      <c r="L53" s="5"/>
      <c r="M53" s="5"/>
    </row>
    <row r="54" spans="2:25">
      <c r="B54" s="53">
        <v>525</v>
      </c>
      <c r="C54" s="194">
        <f>HLOOKUP($N$54,SpectralData!$B$1:$Z$100,39,FALSE)</f>
        <v>0.66645804341333303</v>
      </c>
      <c r="D54" s="184">
        <v>1</v>
      </c>
      <c r="E54" s="5"/>
      <c r="F54" s="171" t="s">
        <v>80</v>
      </c>
      <c r="G54" s="172">
        <f>-LOG10(SUMPRODUCT(Sample,Den_StatusM_R)/SUM(Den_StatusM_R))</f>
        <v>0.2097752446838845</v>
      </c>
      <c r="H54" s="173">
        <f>-LOG10(SUMPRODUCT(Sample,Den_StatusM_G)/SUM(Den_StatusM_G))</f>
        <v>0.18941640488762651</v>
      </c>
      <c r="I54" s="172">
        <f>-LOG10(SUMPRODUCT(Sample,Den_StatusM_B)/SUM(Den_StatusM_B))</f>
        <v>0.18877541664759567</v>
      </c>
      <c r="J54" s="174" t="s">
        <v>83</v>
      </c>
      <c r="K54" s="300" t="s">
        <v>190</v>
      </c>
      <c r="L54" s="301"/>
      <c r="M54" s="302"/>
      <c r="N54" s="306" t="s">
        <v>124</v>
      </c>
    </row>
    <row r="55" spans="2:25" ht="12" thickBot="1">
      <c r="B55" s="53">
        <v>530</v>
      </c>
      <c r="C55" s="194">
        <f>HLOOKUP($N$54,SpectralData!$B$1:$Z$100,40,FALSE)</f>
        <v>0.65635281880666596</v>
      </c>
      <c r="D55" s="184">
        <v>1</v>
      </c>
      <c r="E55" s="5"/>
      <c r="F55" s="171" t="s">
        <v>81</v>
      </c>
      <c r="G55" s="172">
        <f>-LOG10(SUMPRODUCT(Sample,Den_StatusT_R)/SUM(Den_StatusT_R))</f>
        <v>0.19415645121129252</v>
      </c>
      <c r="H55" s="173">
        <f>-LOG10(SUMPRODUCT(Sample,Den_StatusT_G)/SUM(Den_StatusT_G))</f>
        <v>0.18231934042586828</v>
      </c>
      <c r="I55" s="172">
        <f>-LOG10(SUMPRODUCT(Sample,Den_StatusT_B)/SUM(Den_StatusT_B))</f>
        <v>0.18868535037679374</v>
      </c>
      <c r="J55" s="174" t="s">
        <v>83</v>
      </c>
      <c r="K55" s="303"/>
      <c r="L55" s="304"/>
      <c r="M55" s="305"/>
      <c r="N55" s="307"/>
    </row>
    <row r="56" spans="2:25">
      <c r="B56" s="53">
        <v>535</v>
      </c>
      <c r="C56" s="194">
        <f>HLOOKUP($N$54,SpectralData!$B$1:$Z$100,41,FALSE)</f>
        <v>0.64575108844666596</v>
      </c>
      <c r="D56" s="184">
        <v>1</v>
      </c>
      <c r="E56" s="5"/>
      <c r="F56" s="53" t="s">
        <v>72</v>
      </c>
      <c r="G56" s="175" t="s">
        <v>83</v>
      </c>
      <c r="H56" s="176" t="s">
        <v>83</v>
      </c>
      <c r="I56" s="175" t="s">
        <v>83</v>
      </c>
      <c r="J56" s="177">
        <f>-LOG10(SUMPRODUCT(Sample,Den_Visual)/SUM(Den_Visual))</f>
        <v>0.19181806385835815</v>
      </c>
      <c r="K56" s="5"/>
      <c r="L56" s="5"/>
      <c r="M56" s="5"/>
    </row>
    <row r="57" spans="2:25">
      <c r="B57" s="53">
        <v>540</v>
      </c>
      <c r="C57" s="194">
        <f>HLOOKUP($N$54,SpectralData!$B$1:$Z$100,42,FALSE)</f>
        <v>0.63825910187333301</v>
      </c>
      <c r="D57" s="184">
        <v>1</v>
      </c>
      <c r="E57" s="5"/>
      <c r="F57" s="53" t="s">
        <v>73</v>
      </c>
      <c r="G57" s="175" t="s">
        <v>83</v>
      </c>
      <c r="H57" s="176" t="s">
        <v>83</v>
      </c>
      <c r="I57" s="175" t="s">
        <v>83</v>
      </c>
      <c r="J57" s="177">
        <f>-LOG10(SUMPRODUCT(Sample,Den_Type1)/SUM(Den_Type1))</f>
        <v>0.73504535598599219</v>
      </c>
      <c r="K57" s="5"/>
      <c r="L57" s="5"/>
      <c r="M57" s="5"/>
    </row>
    <row r="58" spans="2:25" ht="12" thickBot="1">
      <c r="B58" s="53">
        <v>545</v>
      </c>
      <c r="C58" s="194">
        <f>HLOOKUP($N$54,SpectralData!$B$1:$Z$100,43,FALSE)</f>
        <v>0.63456210836666604</v>
      </c>
      <c r="D58" s="184">
        <v>1</v>
      </c>
      <c r="E58" s="5"/>
      <c r="F58" s="97" t="s">
        <v>74</v>
      </c>
      <c r="G58" s="178" t="s">
        <v>83</v>
      </c>
      <c r="H58" s="179" t="s">
        <v>83</v>
      </c>
      <c r="I58" s="178" t="s">
        <v>83</v>
      </c>
      <c r="J58" s="180">
        <f>-LOG10(SUMPRODUCT(Sample,Den_Type2)/SUM(Den_Type2))</f>
        <v>0.34335773540849823</v>
      </c>
      <c r="K58" s="5"/>
      <c r="L58" s="5"/>
      <c r="M58" s="5"/>
    </row>
    <row r="59" spans="2:25">
      <c r="B59" s="53">
        <v>550</v>
      </c>
      <c r="C59" s="194">
        <f>HLOOKUP($N$54,SpectralData!$B$1:$Z$100,44,FALSE)</f>
        <v>0.63407113646666602</v>
      </c>
      <c r="D59" s="184">
        <v>1</v>
      </c>
      <c r="E59" s="5"/>
      <c r="F59" s="5"/>
      <c r="G59" s="5"/>
      <c r="H59" s="5"/>
      <c r="I59" s="5"/>
      <c r="J59" s="5"/>
      <c r="K59" s="5"/>
      <c r="L59" s="5"/>
      <c r="M59" s="5"/>
    </row>
    <row r="60" spans="2:25">
      <c r="B60" s="53">
        <v>555</v>
      </c>
      <c r="C60" s="194">
        <f>HLOOKUP($N$54,SpectralData!$B$1:$Z$100,45,FALSE)</f>
        <v>0.63559657032666605</v>
      </c>
      <c r="D60" s="184">
        <v>1</v>
      </c>
      <c r="E60" s="5"/>
      <c r="F60" s="5"/>
      <c r="G60" s="5"/>
      <c r="H60" s="5"/>
      <c r="I60" s="5"/>
      <c r="J60" s="5"/>
      <c r="K60" s="5"/>
      <c r="L60" s="5"/>
      <c r="M60" s="5"/>
    </row>
    <row r="61" spans="2:25">
      <c r="B61" s="53">
        <v>560</v>
      </c>
      <c r="C61" s="194">
        <f>HLOOKUP($N$54,SpectralData!$B$1:$Z$100,46,FALSE)</f>
        <v>0.636739369706666</v>
      </c>
      <c r="D61" s="184">
        <v>1</v>
      </c>
      <c r="E61" s="5"/>
      <c r="F61" s="5"/>
      <c r="G61" s="5"/>
      <c r="H61" s="5"/>
      <c r="I61" s="5"/>
      <c r="J61" s="5"/>
      <c r="K61" s="5"/>
      <c r="L61" s="5"/>
      <c r="M61" s="5"/>
    </row>
    <row r="62" spans="2:25">
      <c r="B62" s="53">
        <v>565</v>
      </c>
      <c r="C62" s="194">
        <f>HLOOKUP($N$54,SpectralData!$B$1:$Z$100,47,FALSE)</f>
        <v>0.63719895426666595</v>
      </c>
      <c r="D62" s="184">
        <v>1</v>
      </c>
      <c r="E62" s="5"/>
      <c r="F62" s="5"/>
      <c r="G62" s="5"/>
      <c r="H62" s="5"/>
      <c r="I62" s="5"/>
      <c r="J62" s="5"/>
      <c r="K62" s="5"/>
      <c r="L62" s="5"/>
      <c r="M62" s="5"/>
    </row>
    <row r="63" spans="2:25">
      <c r="B63" s="53">
        <v>570</v>
      </c>
      <c r="C63" s="194">
        <f>HLOOKUP($N$54,SpectralData!$B$1:$Z$100,48,FALSE)</f>
        <v>0.63592142232666604</v>
      </c>
      <c r="D63" s="184">
        <v>1</v>
      </c>
      <c r="E63" s="5"/>
      <c r="F63" s="5"/>
      <c r="G63" s="5"/>
      <c r="H63" s="5"/>
      <c r="I63" s="5"/>
      <c r="J63" s="5"/>
      <c r="K63" s="5"/>
      <c r="L63" s="5"/>
      <c r="M63" s="5"/>
    </row>
    <row r="64" spans="2:25">
      <c r="B64" s="53">
        <v>575</v>
      </c>
      <c r="C64" s="194">
        <f>HLOOKUP($N$54,SpectralData!$B$1:$Z$100,49,FALSE)</f>
        <v>0.63501386260666604</v>
      </c>
      <c r="D64" s="184">
        <v>1</v>
      </c>
      <c r="E64" s="5"/>
      <c r="K64" s="5"/>
      <c r="L64" s="5"/>
      <c r="M64" s="5"/>
    </row>
    <row r="65" spans="2:19">
      <c r="B65" s="53">
        <v>580</v>
      </c>
      <c r="C65" s="194">
        <f>HLOOKUP($N$54,SpectralData!$B$1:$Z$100,50,FALSE)</f>
        <v>0.63447957101333297</v>
      </c>
      <c r="D65" s="184">
        <v>1</v>
      </c>
      <c r="E65" s="5"/>
      <c r="K65" s="5"/>
      <c r="L65" s="5"/>
      <c r="M65" s="5"/>
    </row>
    <row r="66" spans="2:19">
      <c r="B66" s="53">
        <v>585</v>
      </c>
      <c r="C66" s="194">
        <f>HLOOKUP($N$54,SpectralData!$B$1:$Z$100,51,FALSE)</f>
        <v>0.63646278888666596</v>
      </c>
      <c r="D66" s="184">
        <v>1</v>
      </c>
      <c r="E66" s="5"/>
      <c r="K66" s="5"/>
      <c r="L66" s="5"/>
      <c r="M66" s="5"/>
    </row>
    <row r="67" spans="2:19">
      <c r="B67" s="53">
        <v>590</v>
      </c>
      <c r="C67" s="194">
        <f>HLOOKUP($N$54,SpectralData!$B$1:$Z$100,52,FALSE)</f>
        <v>0.64175509897333305</v>
      </c>
      <c r="D67" s="184">
        <v>1</v>
      </c>
      <c r="E67" s="5"/>
      <c r="K67" s="5"/>
      <c r="L67" s="5"/>
      <c r="M67" s="5"/>
    </row>
    <row r="68" spans="2:19">
      <c r="B68" s="65">
        <v>595</v>
      </c>
      <c r="C68" s="257">
        <f>HLOOKUP($N$54,SpectralData!$B$1:$Z$100,53,FALSE)</f>
        <v>0.64773892211999995</v>
      </c>
      <c r="D68" s="185">
        <v>1</v>
      </c>
      <c r="E68" s="5"/>
      <c r="K68" s="5"/>
      <c r="L68" s="5"/>
      <c r="M68" s="5"/>
      <c r="N68" s="5"/>
      <c r="O68" s="5"/>
      <c r="P68" s="5"/>
      <c r="Q68" s="5"/>
      <c r="R68" s="5"/>
      <c r="S68" s="5"/>
    </row>
    <row r="69" spans="2:19">
      <c r="B69" s="53">
        <v>600</v>
      </c>
      <c r="C69" s="256">
        <f>HLOOKUP($N$54,SpectralData!$B$1:$Z$100,54,FALSE)</f>
        <v>0.65266474914666595</v>
      </c>
      <c r="D69" s="184">
        <v>1</v>
      </c>
      <c r="E69" s="5"/>
      <c r="K69" s="5"/>
      <c r="L69" s="5"/>
      <c r="M69" s="5"/>
      <c r="N69" s="5"/>
      <c r="O69" s="5"/>
      <c r="P69" s="5"/>
      <c r="Q69" s="5"/>
      <c r="R69" s="5"/>
      <c r="S69" s="5"/>
    </row>
    <row r="70" spans="2:19">
      <c r="B70" s="53">
        <v>605</v>
      </c>
      <c r="C70" s="194">
        <f>HLOOKUP($N$54,SpectralData!$B$1:$Z$100,55,FALSE)</f>
        <v>0.65342301942000003</v>
      </c>
      <c r="D70" s="184">
        <v>1</v>
      </c>
      <c r="E70" s="5"/>
      <c r="K70" s="5"/>
      <c r="L70" s="5"/>
      <c r="M70" s="5"/>
      <c r="N70" s="5"/>
      <c r="O70" s="5"/>
      <c r="P70" s="5"/>
      <c r="Q70" s="5"/>
      <c r="R70" s="5"/>
      <c r="S70" s="5"/>
    </row>
    <row r="71" spans="2:19">
      <c r="B71" s="53">
        <v>610</v>
      </c>
      <c r="C71" s="194">
        <f>HLOOKUP($N$54,SpectralData!$B$1:$Z$100,56,FALSE)</f>
        <v>0.64823866779999995</v>
      </c>
      <c r="D71" s="184">
        <v>1</v>
      </c>
      <c r="E71" s="5"/>
      <c r="K71" s="5"/>
      <c r="L71" s="5"/>
      <c r="M71" s="5"/>
      <c r="N71" s="5"/>
      <c r="O71" s="5"/>
      <c r="P71" s="5"/>
      <c r="Q71" s="5"/>
      <c r="R71" s="5"/>
      <c r="S71" s="5"/>
    </row>
    <row r="72" spans="2:19">
      <c r="B72" s="53">
        <v>615</v>
      </c>
      <c r="C72" s="194">
        <f>HLOOKUP($N$54,SpectralData!$B$1:$Z$100,57,FALSE)</f>
        <v>0.63935016631333297</v>
      </c>
      <c r="D72" s="184">
        <v>1</v>
      </c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</row>
    <row r="73" spans="2:19">
      <c r="B73" s="53">
        <v>620</v>
      </c>
      <c r="C73" s="194">
        <f>HLOOKUP($N$54,SpectralData!$B$1:$Z$100,58,FALSE)</f>
        <v>0.62794167073999896</v>
      </c>
      <c r="D73" s="184">
        <v>1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</row>
    <row r="74" spans="2:19">
      <c r="B74" s="53">
        <v>625</v>
      </c>
      <c r="C74" s="194">
        <f>HLOOKUP($N$54,SpectralData!$B$1:$Z$100,59,FALSE)</f>
        <v>0.61518297574666603</v>
      </c>
      <c r="D74" s="184">
        <v>1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</row>
    <row r="75" spans="2:19">
      <c r="B75" s="53">
        <v>630</v>
      </c>
      <c r="C75" s="194">
        <f>HLOOKUP($N$54,SpectralData!$B$1:$Z$100,60,FALSE)</f>
        <v>0.60487728373333305</v>
      </c>
      <c r="D75" s="184">
        <v>1</v>
      </c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</row>
    <row r="76" spans="2:19">
      <c r="B76" s="53">
        <v>635</v>
      </c>
      <c r="C76" s="194">
        <f>HLOOKUP($N$54,SpectralData!$B$1:$Z$100,61,FALSE)</f>
        <v>0.59795907337999898</v>
      </c>
      <c r="D76" s="184">
        <v>1</v>
      </c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</row>
    <row r="77" spans="2:19">
      <c r="B77" s="53">
        <v>640</v>
      </c>
      <c r="C77" s="194">
        <f>HLOOKUP($N$54,SpectralData!$B$1:$Z$100,62,FALSE)</f>
        <v>0.59810433198000001</v>
      </c>
      <c r="D77" s="184">
        <v>1</v>
      </c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</row>
    <row r="78" spans="2:19">
      <c r="B78" s="53">
        <v>645</v>
      </c>
      <c r="C78" s="194">
        <f>HLOOKUP($N$54,SpectralData!$B$1:$Z$100,63,FALSE)</f>
        <v>0.60387687174000004</v>
      </c>
      <c r="D78" s="184">
        <v>1</v>
      </c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</row>
    <row r="79" spans="2:19">
      <c r="B79" s="53">
        <v>650</v>
      </c>
      <c r="C79" s="194">
        <f>HLOOKUP($N$54,SpectralData!$B$1:$Z$100,64,FALSE)</f>
        <v>0.61434681193333296</v>
      </c>
      <c r="D79" s="184">
        <v>1</v>
      </c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</row>
    <row r="80" spans="2:19">
      <c r="B80" s="53">
        <v>655</v>
      </c>
      <c r="C80" s="194">
        <f>HLOOKUP($N$54,SpectralData!$B$1:$Z$100,65,FALSE)</f>
        <v>0.62606697082666596</v>
      </c>
      <c r="D80" s="184">
        <v>1</v>
      </c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</row>
    <row r="81" spans="2:19">
      <c r="B81" s="53">
        <v>660</v>
      </c>
      <c r="C81" s="194">
        <f>HLOOKUP($N$54,SpectralData!$B$1:$Z$100,66,FALSE)</f>
        <v>0.63662311807999905</v>
      </c>
      <c r="D81" s="184">
        <v>1</v>
      </c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</row>
    <row r="82" spans="2:19">
      <c r="B82" s="53">
        <v>665</v>
      </c>
      <c r="C82" s="194">
        <f>HLOOKUP($N$54,SpectralData!$B$1:$Z$100,67,FALSE)</f>
        <v>0.64551574199333295</v>
      </c>
      <c r="D82" s="184">
        <v>1</v>
      </c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</row>
    <row r="83" spans="2:19">
      <c r="B83" s="53">
        <v>670</v>
      </c>
      <c r="C83" s="194">
        <f>HLOOKUP($N$54,SpectralData!$B$1:$Z$100,68,FALSE)</f>
        <v>0.65406703186666604</v>
      </c>
      <c r="D83" s="184">
        <v>1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</row>
    <row r="84" spans="2:19">
      <c r="B84" s="53">
        <v>675</v>
      </c>
      <c r="C84" s="194">
        <f>HLOOKUP($N$54,SpectralData!$B$1:$Z$100,69,FALSE)</f>
        <v>0.66249126688666604</v>
      </c>
      <c r="D84" s="184">
        <v>1</v>
      </c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</row>
    <row r="85" spans="2:19">
      <c r="B85" s="53">
        <v>680</v>
      </c>
      <c r="C85" s="194">
        <f>HLOOKUP($N$54,SpectralData!$B$1:$Z$100,70,FALSE)</f>
        <v>0.67055552674666596</v>
      </c>
      <c r="D85" s="184">
        <v>1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</row>
    <row r="86" spans="2:19">
      <c r="B86" s="53">
        <v>685</v>
      </c>
      <c r="C86" s="194">
        <f>HLOOKUP($N$54,SpectralData!$B$1:$Z$100,71,FALSE)</f>
        <v>0.67959486389999901</v>
      </c>
      <c r="D86" s="184">
        <v>1</v>
      </c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</row>
    <row r="87" spans="2:19">
      <c r="B87" s="53">
        <v>690</v>
      </c>
      <c r="C87" s="194">
        <f>HLOOKUP($N$54,SpectralData!$B$1:$Z$100,72,FALSE)</f>
        <v>0.68957404581333304</v>
      </c>
      <c r="D87" s="184">
        <v>1</v>
      </c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</row>
    <row r="88" spans="2:19">
      <c r="B88" s="65">
        <v>695</v>
      </c>
      <c r="C88" s="257">
        <f>HLOOKUP($N$54,SpectralData!$B$1:$Z$100,73,FALSE)</f>
        <v>0.69937444051999997</v>
      </c>
      <c r="D88" s="185">
        <v>1</v>
      </c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</row>
    <row r="89" spans="2:19">
      <c r="B89" s="53">
        <v>700</v>
      </c>
      <c r="C89" s="256">
        <f>HLOOKUP($N$54,SpectralData!$B$1:$Z$100,74,FALSE)</f>
        <v>0.71014990742666595</v>
      </c>
      <c r="D89" s="184">
        <v>1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</row>
    <row r="90" spans="2:19">
      <c r="B90" s="53">
        <v>705</v>
      </c>
      <c r="C90" s="194">
        <f>HLOOKUP($N$54,SpectralData!$B$1:$Z$100,75,FALSE)</f>
        <v>0.72224871317333295</v>
      </c>
      <c r="D90" s="184">
        <v>1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</row>
    <row r="91" spans="2:19">
      <c r="B91" s="53">
        <v>710</v>
      </c>
      <c r="C91" s="194">
        <f>HLOOKUP($N$54,SpectralData!$B$1:$Z$100,76,FALSE)</f>
        <v>0.73482508850666595</v>
      </c>
      <c r="D91" s="184">
        <v>1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</row>
    <row r="92" spans="2:19">
      <c r="B92" s="53">
        <v>715</v>
      </c>
      <c r="C92" s="194">
        <f>HLOOKUP($N$54,SpectralData!$B$1:$Z$100,77,FALSE)</f>
        <v>0.74619039408666599</v>
      </c>
      <c r="D92" s="184">
        <v>1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</row>
    <row r="93" spans="2:19">
      <c r="B93" s="53">
        <v>720</v>
      </c>
      <c r="C93" s="194">
        <f>HLOOKUP($N$54,SpectralData!$B$1:$Z$100,78,FALSE)</f>
        <v>0.75906469725999903</v>
      </c>
      <c r="D93" s="184">
        <v>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</row>
    <row r="94" spans="2:19">
      <c r="B94" s="53">
        <v>725</v>
      </c>
      <c r="C94" s="194">
        <f>HLOOKUP($N$54,SpectralData!$B$1:$Z$100,79,FALSE)</f>
        <v>0.77165055338666599</v>
      </c>
      <c r="D94" s="184">
        <v>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</row>
    <row r="95" spans="2:19">
      <c r="B95" s="53">
        <v>730</v>
      </c>
      <c r="C95" s="194">
        <f>HLOOKUP($N$54,SpectralData!$B$1:$Z$100,80,FALSE)</f>
        <v>0.78419855752666601</v>
      </c>
      <c r="D95" s="184">
        <v>1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</row>
    <row r="96" spans="2:19">
      <c r="B96" s="53">
        <v>735</v>
      </c>
      <c r="C96" s="194">
        <f>HLOOKUP($N$54,SpectralData!$B$1:$Z$100,81,FALSE)</f>
        <v>0.79558898417333301</v>
      </c>
      <c r="D96" s="184">
        <v>1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</row>
    <row r="97" spans="2:19">
      <c r="B97" s="53">
        <v>740</v>
      </c>
      <c r="C97" s="194">
        <f>HLOOKUP($N$54,SpectralData!$B$1:$Z$100,82,FALSE)</f>
        <v>0.80604437256666595</v>
      </c>
      <c r="D97" s="184">
        <v>1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</row>
    <row r="98" spans="2:19">
      <c r="B98" s="53">
        <v>745</v>
      </c>
      <c r="C98" s="194">
        <f>HLOOKUP($N$54,SpectralData!$B$1:$Z$100,83,FALSE)</f>
        <v>0.81763500467333305</v>
      </c>
      <c r="D98" s="184">
        <v>1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</row>
    <row r="99" spans="2:19">
      <c r="B99" s="53">
        <v>750</v>
      </c>
      <c r="C99" s="194">
        <f>HLOOKUP($N$54,SpectralData!$B$1:$Z$100,84,FALSE)</f>
        <v>0.82779908752666598</v>
      </c>
      <c r="D99" s="184">
        <v>1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</row>
    <row r="100" spans="2:19">
      <c r="B100" s="53">
        <v>755</v>
      </c>
      <c r="C100" s="194">
        <f>HLOOKUP($N$54,SpectralData!$B$1:$Z$100,85,FALSE)</f>
        <v>0.83730581155333295</v>
      </c>
      <c r="D100" s="184">
        <v>1</v>
      </c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</row>
    <row r="101" spans="2:19">
      <c r="B101" s="53">
        <v>760</v>
      </c>
      <c r="C101" s="194">
        <f>HLOOKUP($N$54,SpectralData!$B$1:$Z$100,86,FALSE)</f>
        <v>0.845790827426666</v>
      </c>
      <c r="D101" s="184">
        <v>1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</row>
    <row r="102" spans="2:19">
      <c r="B102" s="53">
        <v>765</v>
      </c>
      <c r="C102" s="194">
        <f>HLOOKUP($N$54,SpectralData!$B$1:$Z$100,87,FALSE)</f>
        <v>0.85290358480666595</v>
      </c>
      <c r="D102" s="184">
        <v>1</v>
      </c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</row>
    <row r="103" spans="2:19">
      <c r="B103" s="53">
        <v>770</v>
      </c>
      <c r="C103" s="194">
        <f>HLOOKUP($N$54,SpectralData!$B$1:$Z$100,88,FALSE)</f>
        <v>0.85958912658666597</v>
      </c>
      <c r="D103" s="184">
        <v>1</v>
      </c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</row>
    <row r="104" spans="2:19">
      <c r="B104" s="53">
        <v>775</v>
      </c>
      <c r="C104" s="194">
        <f>HLOOKUP($N$54,SpectralData!$B$1:$Z$100,89,FALSE)</f>
        <v>0.86523435465333298</v>
      </c>
      <c r="D104" s="184">
        <v>1</v>
      </c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</row>
    <row r="105" spans="2:19">
      <c r="B105" s="53">
        <v>780</v>
      </c>
      <c r="C105" s="194">
        <f>HLOOKUP($N$54,SpectralData!$B$1:$Z$100,90,FALSE)</f>
        <v>0.86994735717999905</v>
      </c>
      <c r="D105" s="184">
        <v>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</row>
    <row r="106" spans="2:19">
      <c r="B106" s="53">
        <v>785</v>
      </c>
      <c r="C106" s="194">
        <f>HLOOKUP($N$54,SpectralData!$B$1:$Z$100,91,FALSE)</f>
        <v>0.876294830326666</v>
      </c>
      <c r="D106" s="184">
        <v>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</row>
    <row r="107" spans="2:19">
      <c r="B107" s="53">
        <v>790</v>
      </c>
      <c r="C107" s="194">
        <f>HLOOKUP($N$54,SpectralData!$B$1:$Z$100,92,FALSE)</f>
        <v>0.88051632690666604</v>
      </c>
      <c r="D107" s="184">
        <v>1</v>
      </c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</row>
    <row r="108" spans="2:19">
      <c r="B108" s="65">
        <v>795</v>
      </c>
      <c r="C108" s="257">
        <f>HLOOKUP($N$54,SpectralData!$B$1:$Z$100,93,FALSE)</f>
        <v>0.88374048360666602</v>
      </c>
      <c r="D108" s="185">
        <v>1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</row>
    <row r="109" spans="2:19">
      <c r="B109" s="53">
        <v>800</v>
      </c>
      <c r="C109" s="256">
        <f>HLOOKUP($N$54,SpectralData!$B$1:$Z$100,94,FALSE)</f>
        <v>0.88700676981333304</v>
      </c>
      <c r="D109" s="184">
        <v>1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</row>
    <row r="110" spans="2:19">
      <c r="B110" s="53">
        <v>805</v>
      </c>
      <c r="C110" s="194">
        <f>HLOOKUP($N$54,SpectralData!$B$1:$Z$100,95,FALSE)</f>
        <v>0.89019478862666601</v>
      </c>
      <c r="D110" s="184">
        <v>1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</row>
    <row r="111" spans="2:19">
      <c r="B111" s="53">
        <v>810</v>
      </c>
      <c r="C111" s="194">
        <f>HLOOKUP($N$54,SpectralData!$B$1:$Z$100,96,FALSE)</f>
        <v>0.89172747803333297</v>
      </c>
      <c r="D111" s="184">
        <v>1</v>
      </c>
    </row>
    <row r="112" spans="2:19">
      <c r="B112" s="53">
        <v>815</v>
      </c>
      <c r="C112" s="194">
        <f>HLOOKUP($N$54,SpectralData!$B$1:$Z$100,97,FALSE)</f>
        <v>0.89384432983333295</v>
      </c>
      <c r="D112" s="184">
        <v>1</v>
      </c>
    </row>
    <row r="113" spans="2:4">
      <c r="B113" s="53">
        <v>820</v>
      </c>
      <c r="C113" s="194">
        <f>HLOOKUP($N$54,SpectralData!$B$1:$Z$100,98,FALSE)</f>
        <v>0.89566016641999902</v>
      </c>
      <c r="D113" s="184">
        <v>1</v>
      </c>
    </row>
    <row r="114" spans="2:4">
      <c r="B114" s="53">
        <v>825</v>
      </c>
      <c r="C114" s="194">
        <f>HLOOKUP($N$54,SpectralData!$B$1:$Z$100,99,FALSE)</f>
        <v>0.89755051675999897</v>
      </c>
      <c r="D114" s="184">
        <v>1</v>
      </c>
    </row>
    <row r="115" spans="2:4" ht="12" thickBot="1">
      <c r="B115" s="97">
        <v>830</v>
      </c>
      <c r="C115" s="258">
        <f>HLOOKUP($N$54,SpectralData!$B$1:$Z$100,100,FALSE)</f>
        <v>0.89961811320666596</v>
      </c>
      <c r="D115" s="186">
        <v>1</v>
      </c>
    </row>
    <row r="117" spans="2:4">
      <c r="B117" s="1" t="s">
        <v>122</v>
      </c>
    </row>
  </sheetData>
  <dataConsolidate/>
  <mergeCells count="8">
    <mergeCell ref="L32:N32"/>
    <mergeCell ref="B10:C10"/>
    <mergeCell ref="B11:C11"/>
    <mergeCell ref="F32:G32"/>
    <mergeCell ref="K54:M55"/>
    <mergeCell ref="N54:N55"/>
    <mergeCell ref="F33:G33"/>
    <mergeCell ref="I32:K32"/>
  </mergeCells>
  <phoneticPr fontId="0" type="noConversion"/>
  <pageMargins left="0.75" right="0.75" top="1" bottom="1" header="0.5" footer="0.5"/>
  <headerFooter alignWithMargins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SpectralData!$B$1:$Z$1</xm:f>
          </x14:formula1>
          <xm:sqref>N54:N55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BQ102"/>
  <sheetViews>
    <sheetView topLeftCell="AL1" workbookViewId="0">
      <selection activeCell="AF7" sqref="AF1:AF65536"/>
    </sheetView>
  </sheetViews>
  <sheetFormatPr defaultColWidth="10.875" defaultRowHeight="11.4"/>
  <cols>
    <col min="1" max="1" width="3.875" style="5" customWidth="1"/>
    <col min="2" max="2" width="10.875" style="112"/>
    <col min="3" max="8" width="14.75" style="2" bestFit="1" customWidth="1"/>
    <col min="9" max="9" width="6.875" style="3" customWidth="1"/>
    <col min="10" max="20" width="6.875" style="4" customWidth="1"/>
    <col min="21" max="35" width="7.875" style="4" customWidth="1"/>
    <col min="36" max="36" width="3.875" style="4" customWidth="1"/>
    <col min="37" max="51" width="6.875" style="4" customWidth="1"/>
    <col min="52" max="52" width="3.875" style="4" customWidth="1"/>
    <col min="53" max="54" width="6.875" style="4" customWidth="1"/>
    <col min="55" max="55" width="3.875" style="5" customWidth="1"/>
    <col min="56" max="57" width="10.875" style="5"/>
    <col min="58" max="58" width="3.875" style="5" customWidth="1"/>
    <col min="59" max="59" width="16.125" style="5" bestFit="1" customWidth="1"/>
    <col min="60" max="16384" width="10.875" style="5"/>
  </cols>
  <sheetData>
    <row r="1" spans="2:69" ht="12" thickBot="1">
      <c r="B1" s="1" t="s">
        <v>120</v>
      </c>
    </row>
    <row r="2" spans="2:69" ht="12.6" thickBot="1">
      <c r="B2" s="6" t="s">
        <v>26</v>
      </c>
      <c r="C2" s="310" t="s">
        <v>27</v>
      </c>
      <c r="D2" s="311"/>
      <c r="E2" s="311"/>
      <c r="F2" s="311"/>
      <c r="G2" s="311"/>
      <c r="H2" s="311"/>
      <c r="I2" s="291" t="s">
        <v>28</v>
      </c>
      <c r="J2" s="292"/>
      <c r="K2" s="292"/>
      <c r="L2" s="292"/>
      <c r="M2" s="292"/>
      <c r="N2" s="292"/>
      <c r="O2" s="292"/>
      <c r="P2" s="292"/>
      <c r="Q2" s="318"/>
      <c r="R2" s="313" t="s">
        <v>29</v>
      </c>
      <c r="S2" s="314"/>
      <c r="T2" s="314"/>
      <c r="U2" s="7"/>
      <c r="V2" s="8"/>
      <c r="W2" s="9"/>
      <c r="X2" s="313" t="s">
        <v>78</v>
      </c>
      <c r="Y2" s="314"/>
      <c r="Z2" s="314"/>
      <c r="AA2" s="313" t="s">
        <v>79</v>
      </c>
      <c r="AB2" s="314"/>
      <c r="AC2" s="314"/>
      <c r="AD2" s="313" t="s">
        <v>80</v>
      </c>
      <c r="AE2" s="314"/>
      <c r="AF2" s="314"/>
      <c r="AG2" s="313" t="s">
        <v>81</v>
      </c>
      <c r="AH2" s="314"/>
      <c r="AI2" s="317"/>
      <c r="AJ2" s="10"/>
      <c r="AK2" s="7"/>
      <c r="AL2" s="8"/>
      <c r="AM2" s="9"/>
      <c r="AN2" s="313" t="s">
        <v>78</v>
      </c>
      <c r="AO2" s="314"/>
      <c r="AP2" s="314"/>
      <c r="AQ2" s="313" t="s">
        <v>79</v>
      </c>
      <c r="AR2" s="314"/>
      <c r="AS2" s="314"/>
      <c r="AT2" s="313" t="s">
        <v>80</v>
      </c>
      <c r="AU2" s="314"/>
      <c r="AV2" s="314"/>
      <c r="AW2" s="313" t="s">
        <v>81</v>
      </c>
      <c r="AX2" s="314"/>
      <c r="AY2" s="317"/>
      <c r="AZ2" s="10"/>
      <c r="BA2" s="316" t="s">
        <v>31</v>
      </c>
      <c r="BB2" s="317"/>
      <c r="BD2" s="319" t="s">
        <v>52</v>
      </c>
      <c r="BE2" s="320"/>
      <c r="BG2" s="13" t="s">
        <v>100</v>
      </c>
      <c r="BH2" s="315" t="s">
        <v>101</v>
      </c>
      <c r="BI2" s="315"/>
      <c r="BJ2" s="315"/>
      <c r="BK2" s="315"/>
      <c r="BL2" s="315"/>
      <c r="BM2" s="315"/>
      <c r="BN2" s="315"/>
      <c r="BO2" s="315"/>
      <c r="BP2" s="315"/>
      <c r="BQ2" s="15" t="s">
        <v>115</v>
      </c>
    </row>
    <row r="3" spans="2:69" s="30" customFormat="1" ht="12.6" thickBot="1">
      <c r="B3" s="16" t="s">
        <v>53</v>
      </c>
      <c r="C3" s="17" t="s">
        <v>0</v>
      </c>
      <c r="D3" s="18" t="s">
        <v>1</v>
      </c>
      <c r="E3" s="18" t="s">
        <v>2</v>
      </c>
      <c r="F3" s="19" t="s">
        <v>3</v>
      </c>
      <c r="G3" s="20" t="s">
        <v>4</v>
      </c>
      <c r="H3" s="18" t="s">
        <v>5</v>
      </c>
      <c r="I3" s="21" t="s">
        <v>6</v>
      </c>
      <c r="J3" s="22" t="s">
        <v>7</v>
      </c>
      <c r="K3" s="23" t="s">
        <v>8</v>
      </c>
      <c r="L3" s="22" t="s">
        <v>13</v>
      </c>
      <c r="M3" s="22" t="s">
        <v>9</v>
      </c>
      <c r="N3" s="22" t="s">
        <v>117</v>
      </c>
      <c r="O3" s="22" t="s">
        <v>118</v>
      </c>
      <c r="P3" s="22" t="s">
        <v>119</v>
      </c>
      <c r="Q3" s="22" t="s">
        <v>14</v>
      </c>
      <c r="R3" s="24" t="s">
        <v>10</v>
      </c>
      <c r="S3" s="22" t="s">
        <v>11</v>
      </c>
      <c r="T3" s="23" t="s">
        <v>12</v>
      </c>
      <c r="U3" s="25" t="s">
        <v>72</v>
      </c>
      <c r="V3" s="26" t="s">
        <v>73</v>
      </c>
      <c r="W3" s="23" t="s">
        <v>74</v>
      </c>
      <c r="X3" s="24" t="s">
        <v>75</v>
      </c>
      <c r="Y3" s="22" t="s">
        <v>76</v>
      </c>
      <c r="Z3" s="23" t="s">
        <v>77</v>
      </c>
      <c r="AA3" s="24" t="s">
        <v>75</v>
      </c>
      <c r="AB3" s="22" t="s">
        <v>76</v>
      </c>
      <c r="AC3" s="23" t="s">
        <v>77</v>
      </c>
      <c r="AD3" s="24" t="s">
        <v>75</v>
      </c>
      <c r="AE3" s="22" t="s">
        <v>76</v>
      </c>
      <c r="AF3" s="23" t="s">
        <v>77</v>
      </c>
      <c r="AG3" s="24" t="s">
        <v>75</v>
      </c>
      <c r="AH3" s="22" t="s">
        <v>76</v>
      </c>
      <c r="AI3" s="27" t="s">
        <v>77</v>
      </c>
      <c r="AJ3" s="10"/>
      <c r="AK3" s="25" t="s">
        <v>72</v>
      </c>
      <c r="AL3" s="26" t="s">
        <v>73</v>
      </c>
      <c r="AM3" s="23" t="s">
        <v>74</v>
      </c>
      <c r="AN3" s="24" t="s">
        <v>75</v>
      </c>
      <c r="AO3" s="22" t="s">
        <v>76</v>
      </c>
      <c r="AP3" s="23" t="s">
        <v>77</v>
      </c>
      <c r="AQ3" s="24" t="s">
        <v>75</v>
      </c>
      <c r="AR3" s="22" t="s">
        <v>76</v>
      </c>
      <c r="AS3" s="23" t="s">
        <v>77</v>
      </c>
      <c r="AT3" s="24" t="s">
        <v>75</v>
      </c>
      <c r="AU3" s="22" t="s">
        <v>76</v>
      </c>
      <c r="AV3" s="23" t="s">
        <v>77</v>
      </c>
      <c r="AW3" s="24" t="s">
        <v>75</v>
      </c>
      <c r="AX3" s="22" t="s">
        <v>76</v>
      </c>
      <c r="AY3" s="27" t="s">
        <v>77</v>
      </c>
      <c r="AZ3" s="10"/>
      <c r="BA3" s="28" t="s">
        <v>102</v>
      </c>
      <c r="BB3" s="29" t="s">
        <v>103</v>
      </c>
      <c r="BD3" s="31" t="s">
        <v>16</v>
      </c>
      <c r="BE3" s="32">
        <f>1/Illuminant_D_Temperature</f>
        <v>2.0000000000000001E-4</v>
      </c>
      <c r="BG3" s="33" t="s">
        <v>84</v>
      </c>
      <c r="BH3" s="34">
        <v>2.04148</v>
      </c>
      <c r="BI3" s="34">
        <v>-0.96925799999999995</v>
      </c>
      <c r="BJ3" s="34">
        <v>1.3445500000000001E-2</v>
      </c>
      <c r="BK3" s="34">
        <v>-0.56497699999999995</v>
      </c>
      <c r="BL3" s="34">
        <v>1.87599</v>
      </c>
      <c r="BM3" s="34">
        <v>-0.11837300000000001</v>
      </c>
      <c r="BN3" s="34">
        <v>-0.34471299999999999</v>
      </c>
      <c r="BO3" s="34">
        <v>4.1555700000000001E-2</v>
      </c>
      <c r="BP3" s="34">
        <v>1.0152699999999999</v>
      </c>
      <c r="BQ3" s="35">
        <v>2.2000000000000002</v>
      </c>
    </row>
    <row r="4" spans="2:69" s="30" customFormat="1" ht="12">
      <c r="B4" s="36">
        <v>340</v>
      </c>
      <c r="C4" s="37">
        <v>0</v>
      </c>
      <c r="D4" s="38">
        <v>0</v>
      </c>
      <c r="E4" s="39">
        <v>0</v>
      </c>
      <c r="F4" s="40">
        <v>0</v>
      </c>
      <c r="G4" s="39">
        <v>0</v>
      </c>
      <c r="H4" s="38">
        <v>0</v>
      </c>
      <c r="I4" s="41">
        <f>(100*$BE$12)/(1E-45 * B4*B4*B4*B4*B4*(POWER($BE$11,$BE$13/($BE$17*B4*0.000000001))-1)*$BE$18)</f>
        <v>3.5932397789765731</v>
      </c>
      <c r="J4" s="42">
        <v>2.4</v>
      </c>
      <c r="K4" s="41">
        <v>2.7</v>
      </c>
      <c r="L4" s="56">
        <f>(R4+S4*$BE$7+T4*$BE$8)</f>
        <v>17.923592506196155</v>
      </c>
      <c r="M4" s="41">
        <v>100</v>
      </c>
      <c r="N4" s="41">
        <v>0</v>
      </c>
      <c r="O4" s="51">
        <v>0</v>
      </c>
      <c r="P4" s="41">
        <v>0</v>
      </c>
      <c r="Q4" s="42">
        <f>(100*$BE$12)/(1E-45 * B4*B4*B4*B4*B4*(POWER($BE$11,$BE$13/(Blackbody_Temperature*B4*0.000000001))-1)*$BE$14)</f>
        <v>43.359586478134105</v>
      </c>
      <c r="R4" s="41">
        <v>57.3</v>
      </c>
      <c r="S4" s="42">
        <v>40.6</v>
      </c>
      <c r="T4" s="41">
        <v>7.8</v>
      </c>
      <c r="U4" s="43">
        <v>-10</v>
      </c>
      <c r="V4" s="44">
        <v>-10</v>
      </c>
      <c r="W4" s="45">
        <v>1</v>
      </c>
      <c r="X4" s="46">
        <f t="shared" ref="X4:X53" si="0">X5-1.35</f>
        <v>-67.632000000000033</v>
      </c>
      <c r="Y4" s="47">
        <f t="shared" ref="Y4:Y33" si="1">Y5-1.1</f>
        <v>-33.550000000000018</v>
      </c>
      <c r="Z4" s="46">
        <f t="shared" ref="Z4:Z17" si="2">Z5-1.9</f>
        <v>-26.797999999999995</v>
      </c>
      <c r="AA4" s="45">
        <v>0</v>
      </c>
      <c r="AB4" s="48">
        <v>-10</v>
      </c>
      <c r="AC4" s="45">
        <v>-10</v>
      </c>
      <c r="AD4" s="48">
        <f t="shared" ref="AD4:AD57" si="3">AD5-1.3</f>
        <v>-70.690999999999931</v>
      </c>
      <c r="AE4" s="47">
        <f t="shared" ref="AE4:AE27" si="4">AE5-0.53</f>
        <v>-12.627999999999998</v>
      </c>
      <c r="AF4" s="48">
        <f t="shared" ref="AF4:AF15" si="5">AF5-1.25</f>
        <v>-15.397</v>
      </c>
      <c r="AG4" s="47">
        <v>-10</v>
      </c>
      <c r="AH4" s="48">
        <v>-10</v>
      </c>
      <c r="AI4" s="49">
        <v>-10</v>
      </c>
      <c r="AJ4" s="45"/>
      <c r="AK4" s="50">
        <f>POWER(10,U4)/1000</f>
        <v>1E-13</v>
      </c>
      <c r="AL4" s="51">
        <f t="shared" ref="AL4:AY19" si="6">POWER(10,V4)/1000</f>
        <v>1E-13</v>
      </c>
      <c r="AM4" s="41">
        <f t="shared" si="6"/>
        <v>0.01</v>
      </c>
      <c r="AN4" s="51">
        <f t="shared" si="6"/>
        <v>2.3334580622807993E-71</v>
      </c>
      <c r="AO4" s="41">
        <f t="shared" si="6"/>
        <v>2.8183829312643154E-37</v>
      </c>
      <c r="AP4" s="51">
        <f t="shared" si="6"/>
        <v>1.5922087270511841E-30</v>
      </c>
      <c r="AQ4" s="41">
        <f t="shared" si="6"/>
        <v>1E-3</v>
      </c>
      <c r="AR4" s="51">
        <f t="shared" si="6"/>
        <v>1E-13</v>
      </c>
      <c r="AS4" s="41">
        <f t="shared" si="6"/>
        <v>1E-13</v>
      </c>
      <c r="AT4" s="51">
        <f t="shared" si="6"/>
        <v>2.0370420777059997E-74</v>
      </c>
      <c r="AU4" s="41">
        <f t="shared" si="6"/>
        <v>2.3550492838960123E-16</v>
      </c>
      <c r="AV4" s="51">
        <f t="shared" si="6"/>
        <v>4.0086671762730138E-19</v>
      </c>
      <c r="AW4" s="41">
        <f t="shared" si="6"/>
        <v>1E-13</v>
      </c>
      <c r="AX4" s="51">
        <f t="shared" si="6"/>
        <v>1E-13</v>
      </c>
      <c r="AY4" s="52">
        <f t="shared" si="6"/>
        <v>1E-13</v>
      </c>
      <c r="AZ4" s="41"/>
      <c r="BA4" s="59">
        <f>(R4+S4*$BE$26+T4*$BE$27)</f>
        <v>17.923592506196155</v>
      </c>
      <c r="BB4" s="60">
        <f>(R4+S4*$BE$35+T4*$BE$36)</f>
        <v>39.89553650971061</v>
      </c>
      <c r="BD4" s="31" t="s">
        <v>17</v>
      </c>
      <c r="BE4" s="32">
        <f>IF(Illuminant_D_Temperature&lt;=7000,((-4607000000*BE3+2967800)*BE3+99.11)*BE3+0.244063,((-2006400000*BE3+1901800)*BE3+247.48)*BE3+0.23704)</f>
        <v>0.34574100000000002</v>
      </c>
      <c r="BG4" s="33" t="s">
        <v>85</v>
      </c>
      <c r="BH4" s="34">
        <v>2.9517600000000002</v>
      </c>
      <c r="BI4" s="34">
        <v>-1.0851</v>
      </c>
      <c r="BJ4" s="34">
        <v>8.5480399999999998E-2</v>
      </c>
      <c r="BK4" s="34">
        <v>-1.2895099999999999</v>
      </c>
      <c r="BL4" s="34">
        <v>1.9908399999999999</v>
      </c>
      <c r="BM4" s="34">
        <v>-0.26945599999999997</v>
      </c>
      <c r="BN4" s="34">
        <v>-0.47388000000000002</v>
      </c>
      <c r="BO4" s="34">
        <v>3.7202300000000001E-2</v>
      </c>
      <c r="BP4" s="34">
        <v>1.0911299999999999</v>
      </c>
      <c r="BQ4" s="35">
        <v>1.8</v>
      </c>
    </row>
    <row r="5" spans="2:69" s="30" customFormat="1" ht="12">
      <c r="B5" s="36">
        <v>345</v>
      </c>
      <c r="C5" s="37">
        <v>0</v>
      </c>
      <c r="D5" s="38">
        <v>0</v>
      </c>
      <c r="E5" s="39">
        <v>0</v>
      </c>
      <c r="F5" s="38">
        <v>0</v>
      </c>
      <c r="G5" s="39">
        <v>0</v>
      </c>
      <c r="H5" s="38">
        <v>0</v>
      </c>
      <c r="I5" s="41">
        <f t="shared" ref="I5:I68" si="7">(100*$BE$12)/(1E-45 * B5*B5*B5*B5*B5*(POWER($BE$11,$BE$13/($BE$17*B5*0.000000001))-1)*$BE$18)</f>
        <v>4.140426782306843</v>
      </c>
      <c r="J5" s="42">
        <v>4</v>
      </c>
      <c r="K5" s="41">
        <v>4.8499999999999996</v>
      </c>
      <c r="L5" s="56">
        <f>(R5+S5*$BE$7+T5*$BE$8)</f>
        <v>19.451719701646056</v>
      </c>
      <c r="M5" s="41">
        <v>100</v>
      </c>
      <c r="N5" s="41">
        <v>0</v>
      </c>
      <c r="O5" s="42">
        <v>0</v>
      </c>
      <c r="P5" s="41">
        <v>0</v>
      </c>
      <c r="Q5" s="42">
        <f t="shared" ref="Q5:Q68" si="8">(100*$BE$12)/(1E-45 * B5*B5*B5*B5*B5*(POWER($BE$11,$BE$13/(Blackbody_Temperature*B5*0.000000001))-1)*$BE$14)</f>
        <v>45.568651959602754</v>
      </c>
      <c r="R5" s="41">
        <f>AVERAGE(R6,R4)</f>
        <v>59.55</v>
      </c>
      <c r="S5" s="42">
        <f>AVERAGE(S6,S4)</f>
        <v>41.1</v>
      </c>
      <c r="T5" s="41">
        <f>AVERAGE(T6,T4)</f>
        <v>7.25</v>
      </c>
      <c r="U5" s="43">
        <v>-10</v>
      </c>
      <c r="V5" s="44">
        <v>-10</v>
      </c>
      <c r="W5" s="45">
        <f>AVERAGE(W4,W6)</f>
        <v>1.8540000000000001</v>
      </c>
      <c r="X5" s="48">
        <f t="shared" si="0"/>
        <v>-66.282000000000039</v>
      </c>
      <c r="Y5" s="47">
        <f t="shared" si="1"/>
        <v>-32.450000000000017</v>
      </c>
      <c r="Z5" s="48">
        <f t="shared" si="2"/>
        <v>-24.897999999999996</v>
      </c>
      <c r="AA5" s="45">
        <f>AVERAGE(AA4,AA6)</f>
        <v>0</v>
      </c>
      <c r="AB5" s="48">
        <v>-10</v>
      </c>
      <c r="AC5" s="45">
        <v>-10</v>
      </c>
      <c r="AD5" s="48">
        <f t="shared" si="3"/>
        <v>-69.390999999999934</v>
      </c>
      <c r="AE5" s="47">
        <f t="shared" si="4"/>
        <v>-12.097999999999999</v>
      </c>
      <c r="AF5" s="48">
        <f t="shared" si="5"/>
        <v>-14.147</v>
      </c>
      <c r="AG5" s="47">
        <v>-10</v>
      </c>
      <c r="AH5" s="48">
        <v>-10</v>
      </c>
      <c r="AI5" s="49">
        <v>0</v>
      </c>
      <c r="AJ5" s="45"/>
      <c r="AK5" s="50">
        <f t="shared" ref="AK5:AK68" si="9">POWER(10,U5)/1000</f>
        <v>1E-13</v>
      </c>
      <c r="AL5" s="42">
        <f t="shared" si="6"/>
        <v>1E-13</v>
      </c>
      <c r="AM5" s="41">
        <f t="shared" si="6"/>
        <v>7.1449632607551355E-2</v>
      </c>
      <c r="AN5" s="42">
        <f t="shared" si="6"/>
        <v>5.2239618899906754E-70</v>
      </c>
      <c r="AO5" s="41">
        <f t="shared" si="6"/>
        <v>3.548133892335594E-36</v>
      </c>
      <c r="AP5" s="42">
        <f t="shared" si="6"/>
        <v>1.2647363474711573E-28</v>
      </c>
      <c r="AQ5" s="41">
        <f t="shared" si="6"/>
        <v>1E-3</v>
      </c>
      <c r="AR5" s="42">
        <f t="shared" si="6"/>
        <v>1E-13</v>
      </c>
      <c r="AS5" s="41">
        <f t="shared" si="6"/>
        <v>1E-13</v>
      </c>
      <c r="AT5" s="42">
        <f t="shared" si="6"/>
        <v>4.0644332916526386E-73</v>
      </c>
      <c r="AU5" s="41">
        <f t="shared" si="6"/>
        <v>7.979946872679764E-16</v>
      </c>
      <c r="AV5" s="42">
        <f t="shared" si="6"/>
        <v>7.1285303012651857E-18</v>
      </c>
      <c r="AW5" s="41">
        <f t="shared" si="6"/>
        <v>1E-13</v>
      </c>
      <c r="AX5" s="42">
        <f t="shared" si="6"/>
        <v>1E-13</v>
      </c>
      <c r="AY5" s="52">
        <f t="shared" si="6"/>
        <v>1E-3</v>
      </c>
      <c r="AZ5" s="41"/>
      <c r="BA5" s="59">
        <f>(R5+S5*$BE$26+T5*$BE$27)</f>
        <v>19.451719701646056</v>
      </c>
      <c r="BB5" s="60">
        <f>(R5+S5*$BE$35+T5*$BE$36)</f>
        <v>42.375998612524697</v>
      </c>
      <c r="BD5" s="31" t="s">
        <v>18</v>
      </c>
      <c r="BE5" s="32">
        <f>(-3*BE4+2.87)*BE4-0.275</f>
        <v>0.35866615275700009</v>
      </c>
      <c r="BG5" s="33" t="s">
        <v>86</v>
      </c>
      <c r="BH5" s="34">
        <v>1.75526</v>
      </c>
      <c r="BI5" s="34">
        <v>-0.54413400000000001</v>
      </c>
      <c r="BJ5" s="34">
        <v>6.3468099999999996E-3</v>
      </c>
      <c r="BK5" s="34">
        <v>-0.48367900000000003</v>
      </c>
      <c r="BL5" s="34">
        <v>1.50688</v>
      </c>
      <c r="BM5" s="34">
        <v>-1.75762E-2</v>
      </c>
      <c r="BN5" s="34">
        <v>-0.253</v>
      </c>
      <c r="BO5" s="34">
        <v>2.15528E-2</v>
      </c>
      <c r="BP5" s="34">
        <v>1.2257</v>
      </c>
      <c r="BQ5" s="35">
        <v>2.2000000000000002</v>
      </c>
    </row>
    <row r="6" spans="2:69" s="30" customFormat="1" ht="12">
      <c r="B6" s="36">
        <v>350</v>
      </c>
      <c r="C6" s="37">
        <v>0</v>
      </c>
      <c r="D6" s="38">
        <v>0</v>
      </c>
      <c r="E6" s="39">
        <v>0</v>
      </c>
      <c r="F6" s="38">
        <v>0</v>
      </c>
      <c r="G6" s="39">
        <v>0</v>
      </c>
      <c r="H6" s="38">
        <v>0</v>
      </c>
      <c r="I6" s="41">
        <f t="shared" si="7"/>
        <v>4.7467417713279945</v>
      </c>
      <c r="J6" s="42">
        <v>5.6</v>
      </c>
      <c r="K6" s="41">
        <v>7</v>
      </c>
      <c r="L6" s="56">
        <f>(R6+S6*$BE$7+T6*$BE$8)</f>
        <v>20.979846897095964</v>
      </c>
      <c r="M6" s="41">
        <v>100</v>
      </c>
      <c r="N6" s="41">
        <v>0</v>
      </c>
      <c r="O6" s="42">
        <v>0</v>
      </c>
      <c r="P6" s="41">
        <v>0</v>
      </c>
      <c r="Q6" s="42">
        <f t="shared" si="8"/>
        <v>47.773001361604436</v>
      </c>
      <c r="R6" s="41">
        <v>61.8</v>
      </c>
      <c r="S6" s="42">
        <v>41.6</v>
      </c>
      <c r="T6" s="41">
        <v>6.7</v>
      </c>
      <c r="U6" s="43">
        <v>-10</v>
      </c>
      <c r="V6" s="44">
        <v>-10</v>
      </c>
      <c r="W6" s="45">
        <v>2.7080000000000002</v>
      </c>
      <c r="X6" s="48">
        <f t="shared" si="0"/>
        <v>-64.932000000000045</v>
      </c>
      <c r="Y6" s="47">
        <f t="shared" si="1"/>
        <v>-31.350000000000016</v>
      </c>
      <c r="Z6" s="48">
        <f t="shared" si="2"/>
        <v>-22.997999999999998</v>
      </c>
      <c r="AA6" s="45">
        <v>0</v>
      </c>
      <c r="AB6" s="48">
        <v>-10</v>
      </c>
      <c r="AC6" s="45">
        <v>-10</v>
      </c>
      <c r="AD6" s="48">
        <f t="shared" si="3"/>
        <v>-68.090999999999937</v>
      </c>
      <c r="AE6" s="47">
        <f t="shared" si="4"/>
        <v>-11.568</v>
      </c>
      <c r="AF6" s="48">
        <f t="shared" si="5"/>
        <v>-12.897</v>
      </c>
      <c r="AG6" s="47">
        <v>-10</v>
      </c>
      <c r="AH6" s="48">
        <v>-10</v>
      </c>
      <c r="AI6" s="49">
        <v>1</v>
      </c>
      <c r="AJ6" s="45"/>
      <c r="AK6" s="50">
        <f t="shared" si="9"/>
        <v>1E-13</v>
      </c>
      <c r="AL6" s="42">
        <f t="shared" si="6"/>
        <v>1E-13</v>
      </c>
      <c r="AM6" s="41">
        <f t="shared" si="6"/>
        <v>0.51050499997540688</v>
      </c>
      <c r="AN6" s="42">
        <f t="shared" si="6"/>
        <v>1.1694993910197386E-68</v>
      </c>
      <c r="AO6" s="41">
        <f t="shared" si="6"/>
        <v>4.4668359215094453E-35</v>
      </c>
      <c r="AP6" s="42">
        <f t="shared" si="6"/>
        <v>1.0046157902783959E-26</v>
      </c>
      <c r="AQ6" s="41">
        <f t="shared" si="6"/>
        <v>1E-3</v>
      </c>
      <c r="AR6" s="42">
        <f t="shared" si="6"/>
        <v>1E-13</v>
      </c>
      <c r="AS6" s="41">
        <f t="shared" si="6"/>
        <v>1E-13</v>
      </c>
      <c r="AT6" s="42">
        <f t="shared" si="6"/>
        <v>8.1096105785395565E-72</v>
      </c>
      <c r="AU6" s="41">
        <f t="shared" si="6"/>
        <v>2.7039583641088394E-15</v>
      </c>
      <c r="AV6" s="42">
        <f t="shared" si="6"/>
        <v>1.2676518658578423E-16</v>
      </c>
      <c r="AW6" s="41">
        <f t="shared" si="6"/>
        <v>1E-13</v>
      </c>
      <c r="AX6" s="42">
        <f t="shared" si="6"/>
        <v>1E-13</v>
      </c>
      <c r="AY6" s="52">
        <f t="shared" si="6"/>
        <v>0.01</v>
      </c>
      <c r="AZ6" s="41"/>
      <c r="BA6" s="59">
        <f>(R6+S6*$BE$26+T6*$BE$27)</f>
        <v>20.979846897095964</v>
      </c>
      <c r="BB6" s="60">
        <f>(R6+S6*$BE$35+T6*$BE$36)</f>
        <v>44.856460715338791</v>
      </c>
      <c r="BD6" s="31" t="s">
        <v>19</v>
      </c>
      <c r="BE6" s="32">
        <f>0.0241+0.2562*BE4-0.734*BE5</f>
        <v>-0.15058211192363805</v>
      </c>
      <c r="BG6" s="33" t="s">
        <v>87</v>
      </c>
      <c r="BH6" s="34">
        <v>1.68323</v>
      </c>
      <c r="BI6" s="34">
        <v>-0.77102300000000001</v>
      </c>
      <c r="BJ6" s="34">
        <v>4.0001200000000001E-2</v>
      </c>
      <c r="BK6" s="34">
        <v>-0.42823600000000001</v>
      </c>
      <c r="BL6" s="34">
        <v>1.7065600000000001</v>
      </c>
      <c r="BM6" s="34">
        <v>-8.8537599999999994E-2</v>
      </c>
      <c r="BN6" s="34">
        <v>-0.23601800000000001</v>
      </c>
      <c r="BO6" s="34">
        <v>4.4689899999999998E-2</v>
      </c>
      <c r="BP6" s="34">
        <v>1.2723599999999999</v>
      </c>
      <c r="BQ6" s="35">
        <v>2.2000000000000002</v>
      </c>
    </row>
    <row r="7" spans="2:69" s="30" customFormat="1" ht="12">
      <c r="B7" s="36">
        <v>355</v>
      </c>
      <c r="C7" s="37">
        <v>0</v>
      </c>
      <c r="D7" s="38">
        <v>0</v>
      </c>
      <c r="E7" s="39">
        <v>0</v>
      </c>
      <c r="F7" s="38">
        <v>0</v>
      </c>
      <c r="G7" s="39">
        <v>0</v>
      </c>
      <c r="H7" s="38">
        <v>0</v>
      </c>
      <c r="I7" s="41">
        <f t="shared" si="7"/>
        <v>5.4154847549168066</v>
      </c>
      <c r="J7" s="42">
        <v>7.6</v>
      </c>
      <c r="K7" s="41">
        <v>9.9499999999999993</v>
      </c>
      <c r="L7" s="56">
        <f>(R7+S7*$BE$7+T7*$BE$8)</f>
        <v>22.445701075985284</v>
      </c>
      <c r="M7" s="41">
        <v>100</v>
      </c>
      <c r="N7" s="41">
        <v>0</v>
      </c>
      <c r="O7" s="42">
        <v>0</v>
      </c>
      <c r="P7" s="41">
        <v>0</v>
      </c>
      <c r="Q7" s="42">
        <f t="shared" si="8"/>
        <v>49.9672680725891</v>
      </c>
      <c r="R7" s="41">
        <f>AVERAGE(R8,R6)</f>
        <v>61.65</v>
      </c>
      <c r="S7" s="42">
        <f>AVERAGE(S8,S6)</f>
        <v>39.799999999999997</v>
      </c>
      <c r="T7" s="41">
        <f>AVERAGE(T8,T6)</f>
        <v>6</v>
      </c>
      <c r="U7" s="43">
        <v>-10</v>
      </c>
      <c r="V7" s="44">
        <v>-10</v>
      </c>
      <c r="W7" s="45">
        <f>AVERAGE(W6,W8)</f>
        <v>3.4940000000000002</v>
      </c>
      <c r="X7" s="48">
        <f t="shared" si="0"/>
        <v>-63.582000000000043</v>
      </c>
      <c r="Y7" s="47">
        <f t="shared" si="1"/>
        <v>-30.250000000000014</v>
      </c>
      <c r="Z7" s="48">
        <f t="shared" si="2"/>
        <v>-21.097999999999999</v>
      </c>
      <c r="AA7" s="45">
        <f>AVERAGE(AA6,AA8)</f>
        <v>0</v>
      </c>
      <c r="AB7" s="48">
        <v>-10</v>
      </c>
      <c r="AC7" s="45">
        <v>-10</v>
      </c>
      <c r="AD7" s="48">
        <f t="shared" si="3"/>
        <v>-66.79099999999994</v>
      </c>
      <c r="AE7" s="47">
        <f t="shared" si="4"/>
        <v>-11.038</v>
      </c>
      <c r="AF7" s="48">
        <f t="shared" si="5"/>
        <v>-11.647</v>
      </c>
      <c r="AG7" s="47">
        <v>-10</v>
      </c>
      <c r="AH7" s="48">
        <v>-10</v>
      </c>
      <c r="AI7" s="49">
        <f>AVERAGE(AI6,AI8)</f>
        <v>1.1505000000000001</v>
      </c>
      <c r="AJ7" s="45"/>
      <c r="AK7" s="50">
        <f t="shared" si="9"/>
        <v>1E-13</v>
      </c>
      <c r="AL7" s="42">
        <f t="shared" si="6"/>
        <v>1E-13</v>
      </c>
      <c r="AM7" s="41">
        <f t="shared" si="6"/>
        <v>3.1188895840939415</v>
      </c>
      <c r="AN7" s="42">
        <f t="shared" si="6"/>
        <v>2.6181830082186561E-67</v>
      </c>
      <c r="AO7" s="41">
        <f t="shared" si="6"/>
        <v>5.6234132519032785E-34</v>
      </c>
      <c r="AP7" s="42">
        <f t="shared" si="6"/>
        <v>7.9799468726797413E-25</v>
      </c>
      <c r="AQ7" s="41">
        <f t="shared" si="6"/>
        <v>1E-3</v>
      </c>
      <c r="AR7" s="42">
        <f t="shared" si="6"/>
        <v>1E-13</v>
      </c>
      <c r="AS7" s="41">
        <f t="shared" si="6"/>
        <v>1E-13</v>
      </c>
      <c r="AT7" s="42">
        <f t="shared" si="6"/>
        <v>1.6180800376432752E-70</v>
      </c>
      <c r="AU7" s="41">
        <f t="shared" si="6"/>
        <v>9.1622049012199667E-15</v>
      </c>
      <c r="AV7" s="42">
        <f t="shared" si="6"/>
        <v>2.2542392121524207E-15</v>
      </c>
      <c r="AW7" s="41">
        <f t="shared" si="6"/>
        <v>1E-13</v>
      </c>
      <c r="AX7" s="42">
        <f t="shared" si="6"/>
        <v>1E-13</v>
      </c>
      <c r="AY7" s="52">
        <f t="shared" si="6"/>
        <v>1.4141647250701545E-2</v>
      </c>
      <c r="AZ7" s="41"/>
      <c r="BA7" s="59">
        <f>(R7+S7*$BE$26+T7*$BE$27)</f>
        <v>22.445701075985284</v>
      </c>
      <c r="BB7" s="60">
        <f>(R7+S7*$BE$35+T7*$BE$36)</f>
        <v>45.721940170750713</v>
      </c>
      <c r="BD7" s="31" t="s">
        <v>20</v>
      </c>
      <c r="BE7" s="32">
        <f>(-1.3515-1.7703*BE4+5.9114*BE5)/BE6</f>
        <v>-1.0403214638613361</v>
      </c>
      <c r="BG7" s="33" t="s">
        <v>88</v>
      </c>
      <c r="BH7" s="34">
        <v>2.74566</v>
      </c>
      <c r="BI7" s="34">
        <v>-0.96925700000000004</v>
      </c>
      <c r="BJ7" s="34">
        <v>1.12707E-2</v>
      </c>
      <c r="BK7" s="34">
        <v>-1.1358900000000001</v>
      </c>
      <c r="BL7" s="34">
        <v>1.87599</v>
      </c>
      <c r="BM7" s="34">
        <v>-0.113959</v>
      </c>
      <c r="BN7" s="34">
        <v>-0.43505700000000003</v>
      </c>
      <c r="BO7" s="34">
        <v>4.1555700000000001E-2</v>
      </c>
      <c r="BP7" s="34">
        <v>1.01311</v>
      </c>
      <c r="BQ7" s="35">
        <v>2.2000000000000002</v>
      </c>
    </row>
    <row r="8" spans="2:69" ht="12" thickBot="1">
      <c r="B8" s="53">
        <v>360</v>
      </c>
      <c r="C8" s="54">
        <v>1.2990000000000001E-4</v>
      </c>
      <c r="D8" s="54">
        <v>3.9169999999999999E-6</v>
      </c>
      <c r="E8" s="55">
        <v>6.0610000000000004E-4</v>
      </c>
      <c r="F8" s="54">
        <v>1.222E-7</v>
      </c>
      <c r="G8" s="55">
        <v>1.3398E-8</v>
      </c>
      <c r="H8" s="54">
        <v>5.3502699999999996E-7</v>
      </c>
      <c r="I8" s="41">
        <f t="shared" si="7"/>
        <v>6.1498459798273215</v>
      </c>
      <c r="J8" s="56">
        <v>9.6</v>
      </c>
      <c r="K8" s="57">
        <v>12.9</v>
      </c>
      <c r="L8" s="56">
        <f t="shared" ref="L8:L39" si="10">(R8+S8*$BE$7+T8*$BE$8)</f>
        <v>23.911555254874607</v>
      </c>
      <c r="M8" s="57">
        <v>100</v>
      </c>
      <c r="N8" s="41">
        <v>0</v>
      </c>
      <c r="O8" s="42">
        <v>0</v>
      </c>
      <c r="P8" s="41">
        <v>0</v>
      </c>
      <c r="Q8" s="42">
        <f t="shared" si="8"/>
        <v>52.146339041168211</v>
      </c>
      <c r="R8" s="57">
        <v>61.5</v>
      </c>
      <c r="S8" s="56">
        <v>38</v>
      </c>
      <c r="T8" s="57">
        <v>5.3</v>
      </c>
      <c r="U8" s="43">
        <v>-10</v>
      </c>
      <c r="V8" s="48">
        <v>1</v>
      </c>
      <c r="W8" s="47">
        <v>4.28</v>
      </c>
      <c r="X8" s="48">
        <f t="shared" si="0"/>
        <v>-62.232000000000042</v>
      </c>
      <c r="Y8" s="47">
        <f t="shared" si="1"/>
        <v>-29.150000000000013</v>
      </c>
      <c r="Z8" s="48">
        <f t="shared" si="2"/>
        <v>-19.198</v>
      </c>
      <c r="AA8" s="47">
        <v>0</v>
      </c>
      <c r="AB8" s="48">
        <v>-10</v>
      </c>
      <c r="AC8" s="47">
        <v>-10</v>
      </c>
      <c r="AD8" s="48">
        <f t="shared" si="3"/>
        <v>-65.490999999999943</v>
      </c>
      <c r="AE8" s="47">
        <f t="shared" si="4"/>
        <v>-10.508000000000001</v>
      </c>
      <c r="AF8" s="48">
        <f t="shared" si="5"/>
        <v>-10.397</v>
      </c>
      <c r="AG8" s="47">
        <v>-10</v>
      </c>
      <c r="AH8" s="48">
        <v>-10</v>
      </c>
      <c r="AI8" s="58">
        <v>1.3009999999999999</v>
      </c>
      <c r="AJ8" s="47"/>
      <c r="AK8" s="50">
        <f t="shared" si="9"/>
        <v>1E-13</v>
      </c>
      <c r="AL8" s="42">
        <f t="shared" si="6"/>
        <v>0.01</v>
      </c>
      <c r="AM8" s="41">
        <f t="shared" si="6"/>
        <v>19.054607179632505</v>
      </c>
      <c r="AN8" s="42">
        <f t="shared" si="6"/>
        <v>5.8613816451396393E-66</v>
      </c>
      <c r="AO8" s="41">
        <f t="shared" si="6"/>
        <v>7.0794578438411361E-33</v>
      </c>
      <c r="AP8" s="42">
        <f t="shared" si="6"/>
        <v>6.3386971125692244E-23</v>
      </c>
      <c r="AQ8" s="41">
        <f t="shared" si="6"/>
        <v>1E-3</v>
      </c>
      <c r="AR8" s="42">
        <f t="shared" si="6"/>
        <v>1E-13</v>
      </c>
      <c r="AS8" s="41">
        <f t="shared" si="6"/>
        <v>1E-13</v>
      </c>
      <c r="AT8" s="42">
        <f t="shared" si="6"/>
        <v>3.228494121713013E-69</v>
      </c>
      <c r="AU8" s="41">
        <f t="shared" si="6"/>
        <v>3.1045595881283409E-14</v>
      </c>
      <c r="AV8" s="42">
        <f t="shared" si="6"/>
        <v>4.0086671762730218E-14</v>
      </c>
      <c r="AW8" s="41">
        <f t="shared" si="6"/>
        <v>1E-13</v>
      </c>
      <c r="AX8" s="42">
        <f t="shared" si="6"/>
        <v>1E-13</v>
      </c>
      <c r="AY8" s="52">
        <f t="shared" si="6"/>
        <v>1.9998618696327446E-2</v>
      </c>
      <c r="AZ8" s="41"/>
      <c r="BA8" s="59">
        <f>(R8+S8*$BE$26+T8*$BE$27)</f>
        <v>23.911555254874607</v>
      </c>
      <c r="BB8" s="60">
        <f>(R8+S8*$BE$35+T8*$BE$36)</f>
        <v>46.587419626162628</v>
      </c>
      <c r="BD8" s="61" t="s">
        <v>21</v>
      </c>
      <c r="BE8" s="62">
        <f>(0.03-31.4424*BE4+30.0717*BE5)/BE6</f>
        <v>0.36674922294441031</v>
      </c>
      <c r="BG8" s="33" t="s">
        <v>89</v>
      </c>
      <c r="BH8" s="34">
        <v>2.3706700000000001</v>
      </c>
      <c r="BI8" s="34">
        <v>-0.51388500000000004</v>
      </c>
      <c r="BJ8" s="34">
        <v>5.2981800000000004E-3</v>
      </c>
      <c r="BK8" s="34">
        <v>-0.90003999999999995</v>
      </c>
      <c r="BL8" s="34">
        <v>1.4253</v>
      </c>
      <c r="BM8" s="34">
        <v>-1.46949E-2</v>
      </c>
      <c r="BN8" s="34">
        <v>-0.470634</v>
      </c>
      <c r="BO8" s="34">
        <v>8.8581400000000005E-2</v>
      </c>
      <c r="BP8" s="34">
        <v>1.0094000000000001</v>
      </c>
      <c r="BQ8" s="35">
        <v>2.2000000000000002</v>
      </c>
    </row>
    <row r="9" spans="2:69" ht="12" thickBot="1">
      <c r="B9" s="53">
        <v>365</v>
      </c>
      <c r="C9" s="54">
        <v>2.321E-4</v>
      </c>
      <c r="D9" s="54">
        <v>6.9650000000000002E-6</v>
      </c>
      <c r="E9" s="55">
        <v>1.0859999999999999E-3</v>
      </c>
      <c r="F9" s="54">
        <v>9.1927000000000005E-7</v>
      </c>
      <c r="G9" s="55">
        <v>1.0065E-7</v>
      </c>
      <c r="H9" s="54">
        <v>4.0283E-6</v>
      </c>
      <c r="I9" s="41">
        <f t="shared" si="7"/>
        <v>6.9528831971937928</v>
      </c>
      <c r="J9" s="56">
        <v>12.4</v>
      </c>
      <c r="K9" s="57">
        <v>17.2</v>
      </c>
      <c r="L9" s="56">
        <f t="shared" si="10"/>
        <v>24.899386991626763</v>
      </c>
      <c r="M9" s="57">
        <v>100</v>
      </c>
      <c r="N9" s="41">
        <v>0</v>
      </c>
      <c r="O9" s="42">
        <v>0</v>
      </c>
      <c r="P9" s="41">
        <v>0</v>
      </c>
      <c r="Q9" s="42">
        <f t="shared" si="8"/>
        <v>54.305369853586917</v>
      </c>
      <c r="R9" s="57">
        <v>65.150000000000006</v>
      </c>
      <c r="S9" s="56">
        <v>40.700000000000003</v>
      </c>
      <c r="T9" s="57">
        <v>5.7</v>
      </c>
      <c r="U9" s="43">
        <v>-10</v>
      </c>
      <c r="V9" s="48">
        <f>AVERAGE(V8,V10)</f>
        <v>1.3199999999999998</v>
      </c>
      <c r="W9" s="47">
        <f>AVERAGE(W8,W10)</f>
        <v>4.4314999999999998</v>
      </c>
      <c r="X9" s="48">
        <f t="shared" si="0"/>
        <v>-60.882000000000041</v>
      </c>
      <c r="Y9" s="47">
        <f t="shared" si="1"/>
        <v>-28.050000000000011</v>
      </c>
      <c r="Z9" s="48">
        <f t="shared" si="2"/>
        <v>-17.298000000000002</v>
      </c>
      <c r="AA9" s="47">
        <f>AVERAGE(AA8,AA10)</f>
        <v>0</v>
      </c>
      <c r="AB9" s="48">
        <v>-10</v>
      </c>
      <c r="AC9" s="47">
        <v>-10</v>
      </c>
      <c r="AD9" s="48">
        <f t="shared" si="3"/>
        <v>-64.190999999999946</v>
      </c>
      <c r="AE9" s="47">
        <f t="shared" si="4"/>
        <v>-9.9780000000000015</v>
      </c>
      <c r="AF9" s="48">
        <f t="shared" si="5"/>
        <v>-9.1470000000000002</v>
      </c>
      <c r="AG9" s="47">
        <v>-10</v>
      </c>
      <c r="AH9" s="48">
        <v>-10</v>
      </c>
      <c r="AI9" s="58">
        <f>AVERAGE(AI8,AI10)</f>
        <v>1.6505000000000001</v>
      </c>
      <c r="AJ9" s="47"/>
      <c r="AK9" s="50">
        <f t="shared" si="9"/>
        <v>1E-13</v>
      </c>
      <c r="AL9" s="42">
        <f t="shared" si="6"/>
        <v>2.0892961308540393E-2</v>
      </c>
      <c r="AM9" s="41">
        <f t="shared" si="6"/>
        <v>27.008471083246608</v>
      </c>
      <c r="AN9" s="42">
        <f t="shared" si="6"/>
        <v>1.3121998990190788E-64</v>
      </c>
      <c r="AO9" s="41">
        <f t="shared" si="6"/>
        <v>8.9125093813371847E-32</v>
      </c>
      <c r="AP9" s="42">
        <f t="shared" si="6"/>
        <v>5.0350060878789923E-21</v>
      </c>
      <c r="AQ9" s="41">
        <f t="shared" si="6"/>
        <v>1E-3</v>
      </c>
      <c r="AR9" s="42">
        <f t="shared" si="6"/>
        <v>1E-13</v>
      </c>
      <c r="AS9" s="41">
        <f t="shared" si="6"/>
        <v>1E-13</v>
      </c>
      <c r="AT9" s="42">
        <f t="shared" si="6"/>
        <v>6.441692655152446E-68</v>
      </c>
      <c r="AU9" s="41">
        <f t="shared" si="6"/>
        <v>1.0519618738232163E-13</v>
      </c>
      <c r="AV9" s="42">
        <f t="shared" si="6"/>
        <v>7.1285303012651755E-13</v>
      </c>
      <c r="AW9" s="41">
        <f t="shared" si="6"/>
        <v>1E-13</v>
      </c>
      <c r="AX9" s="42">
        <f t="shared" si="6"/>
        <v>1E-13</v>
      </c>
      <c r="AY9" s="52">
        <f t="shared" si="6"/>
        <v>4.4719815178875084E-2</v>
      </c>
      <c r="AZ9" s="41"/>
      <c r="BA9" s="59">
        <f t="shared" ref="BA9:BA72" si="11">(R9+S9*$BE$26+T9*$BE$27)</f>
        <v>24.899386991626763</v>
      </c>
      <c r="BB9" s="60">
        <f t="shared" ref="BB9:BB72" si="12">(R9+S9*$BE$35+T9*$BE$36)</f>
        <v>49.161716475359214</v>
      </c>
      <c r="BG9" s="33" t="s">
        <v>90</v>
      </c>
      <c r="BH9" s="34">
        <v>2.64229</v>
      </c>
      <c r="BI9" s="34">
        <v>-1.11198</v>
      </c>
      <c r="BJ9" s="34">
        <v>8.2169800000000001E-2</v>
      </c>
      <c r="BK9" s="34">
        <v>-1.22343</v>
      </c>
      <c r="BL9" s="34">
        <v>2.0590199999999999</v>
      </c>
      <c r="BM9" s="34">
        <v>-0.280725</v>
      </c>
      <c r="BN9" s="34">
        <v>-0.39301399999999997</v>
      </c>
      <c r="BO9" s="34">
        <v>1.5961400000000001E-2</v>
      </c>
      <c r="BP9" s="34">
        <v>1.4559899999999999</v>
      </c>
      <c r="BQ9" s="35">
        <v>1.8</v>
      </c>
    </row>
    <row r="10" spans="2:69" ht="12.6" thickBot="1">
      <c r="B10" s="53">
        <v>370</v>
      </c>
      <c r="C10" s="54">
        <v>4.149E-4</v>
      </c>
      <c r="D10" s="54">
        <v>1.239E-5</v>
      </c>
      <c r="E10" s="55">
        <v>1.946E-3</v>
      </c>
      <c r="F10" s="54">
        <v>5.9586E-6</v>
      </c>
      <c r="G10" s="55">
        <v>6.511E-7</v>
      </c>
      <c r="H10" s="54">
        <v>2.6143699999999998E-5</v>
      </c>
      <c r="I10" s="41">
        <f t="shared" si="7"/>
        <v>7.8275003575281898</v>
      </c>
      <c r="J10" s="56">
        <v>15.2</v>
      </c>
      <c r="K10" s="57">
        <v>21.4</v>
      </c>
      <c r="L10" s="56">
        <f t="shared" si="10"/>
        <v>25.887218728378915</v>
      </c>
      <c r="M10" s="57">
        <v>100</v>
      </c>
      <c r="N10" s="41">
        <v>0</v>
      </c>
      <c r="O10" s="42">
        <v>0</v>
      </c>
      <c r="P10" s="41">
        <v>0</v>
      </c>
      <c r="Q10" s="42">
        <f t="shared" si="8"/>
        <v>56.43979612069311</v>
      </c>
      <c r="R10" s="57">
        <v>68.8</v>
      </c>
      <c r="S10" s="56">
        <v>43.4</v>
      </c>
      <c r="T10" s="57">
        <v>6.1</v>
      </c>
      <c r="U10" s="43">
        <v>-10</v>
      </c>
      <c r="V10" s="48">
        <v>1.64</v>
      </c>
      <c r="W10" s="47">
        <v>4.5830000000000002</v>
      </c>
      <c r="X10" s="48">
        <f t="shared" si="0"/>
        <v>-59.532000000000039</v>
      </c>
      <c r="Y10" s="47">
        <f t="shared" si="1"/>
        <v>-26.95000000000001</v>
      </c>
      <c r="Z10" s="48">
        <f t="shared" si="2"/>
        <v>-15.398000000000001</v>
      </c>
      <c r="AA10" s="47">
        <v>0</v>
      </c>
      <c r="AB10" s="48">
        <v>-10</v>
      </c>
      <c r="AC10" s="47">
        <v>1</v>
      </c>
      <c r="AD10" s="48">
        <f t="shared" si="3"/>
        <v>-62.890999999999948</v>
      </c>
      <c r="AE10" s="47">
        <f t="shared" si="4"/>
        <v>-9.4480000000000022</v>
      </c>
      <c r="AF10" s="48">
        <f t="shared" si="5"/>
        <v>-7.8970000000000002</v>
      </c>
      <c r="AG10" s="47">
        <v>-10</v>
      </c>
      <c r="AH10" s="48">
        <v>-10</v>
      </c>
      <c r="AI10" s="58">
        <v>2</v>
      </c>
      <c r="AJ10" s="47"/>
      <c r="AK10" s="50">
        <f t="shared" si="9"/>
        <v>1E-13</v>
      </c>
      <c r="AL10" s="42">
        <f t="shared" si="6"/>
        <v>4.3651583224016612E-2</v>
      </c>
      <c r="AM10" s="41">
        <f t="shared" si="6"/>
        <v>38.282474331682302</v>
      </c>
      <c r="AN10" s="42">
        <f t="shared" si="6"/>
        <v>2.9376496519612145E-63</v>
      </c>
      <c r="AO10" s="41">
        <f t="shared" si="6"/>
        <v>1.1220184543019334E-30</v>
      </c>
      <c r="AP10" s="42">
        <f t="shared" si="6"/>
        <v>3.9994474976109436E-19</v>
      </c>
      <c r="AQ10" s="41">
        <f t="shared" si="6"/>
        <v>1E-3</v>
      </c>
      <c r="AR10" s="42">
        <f t="shared" si="6"/>
        <v>1E-13</v>
      </c>
      <c r="AS10" s="41">
        <f t="shared" si="6"/>
        <v>0.01</v>
      </c>
      <c r="AT10" s="42">
        <f t="shared" si="6"/>
        <v>1.2852866599437336E-66</v>
      </c>
      <c r="AU10" s="41">
        <f t="shared" si="6"/>
        <v>3.5645113342624147E-13</v>
      </c>
      <c r="AV10" s="42">
        <f t="shared" si="6"/>
        <v>1.2676518658578448E-11</v>
      </c>
      <c r="AW10" s="41">
        <f t="shared" si="6"/>
        <v>1E-13</v>
      </c>
      <c r="AX10" s="42">
        <f t="shared" si="6"/>
        <v>1E-13</v>
      </c>
      <c r="AY10" s="52">
        <f t="shared" si="6"/>
        <v>0.1</v>
      </c>
      <c r="AZ10" s="41"/>
      <c r="BA10" s="59">
        <f t="shared" si="11"/>
        <v>25.887218728378915</v>
      </c>
      <c r="BB10" s="60">
        <f t="shared" si="12"/>
        <v>51.736013324555778</v>
      </c>
      <c r="BD10" s="319" t="s">
        <v>14</v>
      </c>
      <c r="BE10" s="320"/>
      <c r="BG10" s="33" t="s">
        <v>91</v>
      </c>
      <c r="BH10" s="34">
        <v>1.7603899999999999</v>
      </c>
      <c r="BI10" s="34">
        <v>-0.71262899999999996</v>
      </c>
      <c r="BJ10" s="34">
        <v>7.8207199999999998E-3</v>
      </c>
      <c r="BK10" s="34">
        <v>-0.48812</v>
      </c>
      <c r="BL10" s="34">
        <v>1.6527400000000001</v>
      </c>
      <c r="BM10" s="34">
        <v>-3.4741099999999997E-2</v>
      </c>
      <c r="BN10" s="34">
        <v>-0.25361299999999998</v>
      </c>
      <c r="BO10" s="34">
        <v>4.16715E-2</v>
      </c>
      <c r="BP10" s="34">
        <v>1.2447699999999999</v>
      </c>
      <c r="BQ10" s="35">
        <v>2.2000000000000002</v>
      </c>
    </row>
    <row r="11" spans="2:69">
      <c r="B11" s="53">
        <v>375</v>
      </c>
      <c r="C11" s="54">
        <v>7.4160000000000003E-4</v>
      </c>
      <c r="D11" s="54">
        <v>2.2019999999999999E-5</v>
      </c>
      <c r="E11" s="55">
        <v>3.4859999999999999E-3</v>
      </c>
      <c r="F11" s="54">
        <v>3.3266000000000003E-5</v>
      </c>
      <c r="G11" s="55">
        <v>3.625E-6</v>
      </c>
      <c r="H11" s="54">
        <v>1.4621999999999999E-4</v>
      </c>
      <c r="I11" s="41">
        <f t="shared" si="7"/>
        <v>8.7764279223403729</v>
      </c>
      <c r="J11" s="56">
        <v>18.8</v>
      </c>
      <c r="K11" s="57">
        <v>27.5</v>
      </c>
      <c r="L11" s="56">
        <f t="shared" si="10"/>
        <v>25.167545019275348</v>
      </c>
      <c r="M11" s="57">
        <v>100</v>
      </c>
      <c r="N11" s="41">
        <v>0</v>
      </c>
      <c r="O11" s="42">
        <v>0</v>
      </c>
      <c r="P11" s="41">
        <v>0</v>
      </c>
      <c r="Q11" s="42">
        <f t="shared" si="8"/>
        <v>58.545341481852951</v>
      </c>
      <c r="R11" s="57">
        <v>66.099999999999994</v>
      </c>
      <c r="S11" s="56">
        <v>40.950000000000003</v>
      </c>
      <c r="T11" s="57">
        <v>4.55</v>
      </c>
      <c r="U11" s="43">
        <v>-10</v>
      </c>
      <c r="V11" s="48">
        <f>AVERAGE(V10,V12)</f>
        <v>2.25</v>
      </c>
      <c r="W11" s="47">
        <f>AVERAGE(W10,W12)</f>
        <v>4.6715</v>
      </c>
      <c r="X11" s="48">
        <f t="shared" si="0"/>
        <v>-58.182000000000038</v>
      </c>
      <c r="Y11" s="47">
        <f t="shared" si="1"/>
        <v>-25.850000000000009</v>
      </c>
      <c r="Z11" s="48">
        <f t="shared" si="2"/>
        <v>-13.498000000000001</v>
      </c>
      <c r="AA11" s="47">
        <f>AVERAGE(AA10,AA12)</f>
        <v>0</v>
      </c>
      <c r="AB11" s="48">
        <v>-10</v>
      </c>
      <c r="AC11" s="47">
        <f>AVERAGE(AC10,AC12)</f>
        <v>1.7155</v>
      </c>
      <c r="AD11" s="48">
        <f t="shared" si="3"/>
        <v>-61.590999999999951</v>
      </c>
      <c r="AE11" s="47">
        <f t="shared" si="4"/>
        <v>-8.9180000000000028</v>
      </c>
      <c r="AF11" s="48">
        <f t="shared" si="5"/>
        <v>-6.6470000000000002</v>
      </c>
      <c r="AG11" s="47">
        <v>-10</v>
      </c>
      <c r="AH11" s="48">
        <v>-10</v>
      </c>
      <c r="AI11" s="58">
        <f>AVERAGE(AI10,AI12)</f>
        <v>2.2385000000000002</v>
      </c>
      <c r="AJ11" s="47"/>
      <c r="AK11" s="50">
        <f t="shared" si="9"/>
        <v>1E-13</v>
      </c>
      <c r="AL11" s="42">
        <f t="shared" si="6"/>
        <v>0.17782794100389243</v>
      </c>
      <c r="AM11" s="41">
        <f t="shared" si="6"/>
        <v>46.935343431719559</v>
      </c>
      <c r="AN11" s="42">
        <f t="shared" si="6"/>
        <v>6.5765783735535987E-62</v>
      </c>
      <c r="AO11" s="41">
        <f t="shared" si="6"/>
        <v>1.4125375446227216E-29</v>
      </c>
      <c r="AP11" s="42">
        <f t="shared" si="6"/>
        <v>3.1768740706497561E-17</v>
      </c>
      <c r="AQ11" s="41">
        <f t="shared" si="6"/>
        <v>1E-3</v>
      </c>
      <c r="AR11" s="42">
        <f t="shared" si="6"/>
        <v>1E-13</v>
      </c>
      <c r="AS11" s="41">
        <f t="shared" si="6"/>
        <v>5.1939767350700779E-2</v>
      </c>
      <c r="AT11" s="42">
        <f t="shared" si="6"/>
        <v>2.5644840365179944E-65</v>
      </c>
      <c r="AU11" s="41">
        <f t="shared" si="6"/>
        <v>1.2078138351067691E-12</v>
      </c>
      <c r="AV11" s="42">
        <f t="shared" si="6"/>
        <v>2.2542392121524249E-10</v>
      </c>
      <c r="AW11" s="41">
        <f t="shared" si="6"/>
        <v>1E-13</v>
      </c>
      <c r="AX11" s="42">
        <f t="shared" si="6"/>
        <v>1E-13</v>
      </c>
      <c r="AY11" s="52">
        <f t="shared" si="6"/>
        <v>0.17318090307501158</v>
      </c>
      <c r="AZ11" s="41"/>
      <c r="BA11" s="59">
        <f t="shared" si="11"/>
        <v>25.167545019275348</v>
      </c>
      <c r="BB11" s="60">
        <f t="shared" si="12"/>
        <v>50.829372954881855</v>
      </c>
      <c r="BD11" s="31" t="s">
        <v>22</v>
      </c>
      <c r="BE11" s="32">
        <v>2.7182818284590402</v>
      </c>
      <c r="BG11" s="33" t="s">
        <v>92</v>
      </c>
      <c r="BH11" s="34">
        <v>1.7827599999999999</v>
      </c>
      <c r="BI11" s="34">
        <v>-0.95936200000000005</v>
      </c>
      <c r="BJ11" s="34">
        <v>8.5931800000000003E-2</v>
      </c>
      <c r="BK11" s="34">
        <v>-0.49698500000000001</v>
      </c>
      <c r="BL11" s="34">
        <v>1.9478</v>
      </c>
      <c r="BM11" s="34">
        <v>-0.17446700000000001</v>
      </c>
      <c r="BN11" s="34">
        <v>-0.26901000000000003</v>
      </c>
      <c r="BO11" s="34">
        <v>-2.75807E-2</v>
      </c>
      <c r="BP11" s="34">
        <v>1.32283</v>
      </c>
      <c r="BQ11" s="35">
        <v>1.8</v>
      </c>
    </row>
    <row r="12" spans="2:69">
      <c r="B12" s="53">
        <v>380</v>
      </c>
      <c r="C12" s="54">
        <v>1.3680000000000001E-3</v>
      </c>
      <c r="D12" s="54">
        <v>3.8999999999999999E-5</v>
      </c>
      <c r="E12" s="55">
        <v>6.4500010000000003E-3</v>
      </c>
      <c r="F12" s="54">
        <v>1.5995199999999999E-4</v>
      </c>
      <c r="G12" s="55">
        <v>1.7363999999999998E-5</v>
      </c>
      <c r="H12" s="54">
        <v>7.0477599999999995E-4</v>
      </c>
      <c r="I12" s="41">
        <f t="shared" si="7"/>
        <v>9.8022049447973778</v>
      </c>
      <c r="J12" s="56">
        <v>22.4</v>
      </c>
      <c r="K12" s="57">
        <v>33</v>
      </c>
      <c r="L12" s="56">
        <f t="shared" si="10"/>
        <v>24.447871310171788</v>
      </c>
      <c r="M12" s="57">
        <v>100</v>
      </c>
      <c r="N12" s="57">
        <v>1.18</v>
      </c>
      <c r="O12" s="56">
        <v>2.56</v>
      </c>
      <c r="P12" s="57">
        <v>0.91</v>
      </c>
      <c r="Q12" s="42">
        <f t="shared" si="8"/>
        <v>60.618022536472509</v>
      </c>
      <c r="R12" s="57">
        <v>63.4</v>
      </c>
      <c r="S12" s="56">
        <v>38.5</v>
      </c>
      <c r="T12" s="57">
        <v>3</v>
      </c>
      <c r="U12" s="43">
        <v>-10</v>
      </c>
      <c r="V12" s="48">
        <v>2.86</v>
      </c>
      <c r="W12" s="47">
        <v>4.76</v>
      </c>
      <c r="X12" s="48">
        <f t="shared" si="0"/>
        <v>-56.832000000000036</v>
      </c>
      <c r="Y12" s="47">
        <f t="shared" si="1"/>
        <v>-24.750000000000007</v>
      </c>
      <c r="Z12" s="48">
        <f t="shared" si="2"/>
        <v>-11.598000000000001</v>
      </c>
      <c r="AA12" s="47">
        <v>0</v>
      </c>
      <c r="AB12" s="48">
        <v>-10</v>
      </c>
      <c r="AC12" s="47">
        <v>2.431</v>
      </c>
      <c r="AD12" s="48">
        <f t="shared" si="3"/>
        <v>-60.290999999999954</v>
      </c>
      <c r="AE12" s="47">
        <f t="shared" si="4"/>
        <v>-8.3880000000000035</v>
      </c>
      <c r="AF12" s="48">
        <f t="shared" si="5"/>
        <v>-5.3970000000000002</v>
      </c>
      <c r="AG12" s="47">
        <v>-10</v>
      </c>
      <c r="AH12" s="48">
        <v>-10</v>
      </c>
      <c r="AI12" s="58">
        <v>2.4769999999999999</v>
      </c>
      <c r="AJ12" s="47"/>
      <c r="AK12" s="50">
        <f t="shared" si="9"/>
        <v>1E-13</v>
      </c>
      <c r="AL12" s="42">
        <f t="shared" si="6"/>
        <v>0.72443596007499023</v>
      </c>
      <c r="AM12" s="41">
        <f t="shared" si="6"/>
        <v>57.54399373371573</v>
      </c>
      <c r="AN12" s="42">
        <f t="shared" si="6"/>
        <v>1.4723125024325643E-60</v>
      </c>
      <c r="AO12" s="41">
        <f t="shared" si="6"/>
        <v>1.7782794100388882E-28</v>
      </c>
      <c r="AP12" s="42">
        <f t="shared" si="6"/>
        <v>2.5234807724805617E-15</v>
      </c>
      <c r="AQ12" s="41">
        <f t="shared" si="6"/>
        <v>1E-3</v>
      </c>
      <c r="AR12" s="42">
        <f t="shared" si="6"/>
        <v>1E-13</v>
      </c>
      <c r="AS12" s="41">
        <f t="shared" si="6"/>
        <v>0.26977394324449216</v>
      </c>
      <c r="AT12" s="42">
        <f t="shared" si="6"/>
        <v>5.1168183554035665E-64</v>
      </c>
      <c r="AU12" s="41">
        <f t="shared" si="6"/>
        <v>4.0926065973000642E-12</v>
      </c>
      <c r="AV12" s="42">
        <f t="shared" si="6"/>
        <v>4.0086671762730234E-9</v>
      </c>
      <c r="AW12" s="41">
        <f t="shared" si="6"/>
        <v>1E-13</v>
      </c>
      <c r="AX12" s="42">
        <f t="shared" si="6"/>
        <v>1E-13</v>
      </c>
      <c r="AY12" s="52">
        <f t="shared" si="6"/>
        <v>0.29991625189876508</v>
      </c>
      <c r="AZ12" s="41"/>
      <c r="BA12" s="59">
        <f t="shared" si="11"/>
        <v>24.447871310171788</v>
      </c>
      <c r="BB12" s="60">
        <f t="shared" si="12"/>
        <v>49.922732585207925</v>
      </c>
      <c r="BD12" s="31" t="s">
        <v>23</v>
      </c>
      <c r="BE12" s="63">
        <v>3.7418320000000001E-16</v>
      </c>
      <c r="BG12" s="33" t="s">
        <v>93</v>
      </c>
      <c r="BH12" s="34">
        <v>2.0043799999999998</v>
      </c>
      <c r="BI12" s="34">
        <v>-0.71102900000000002</v>
      </c>
      <c r="BJ12" s="34">
        <v>3.8126300000000002E-2</v>
      </c>
      <c r="BK12" s="34">
        <v>-0.73048400000000002</v>
      </c>
      <c r="BL12" s="34">
        <v>1.6202099999999999</v>
      </c>
      <c r="BM12" s="34">
        <v>-8.6877999999999997E-2</v>
      </c>
      <c r="BN12" s="34">
        <v>-0.245005</v>
      </c>
      <c r="BO12" s="34">
        <v>7.9222699999999993E-2</v>
      </c>
      <c r="BP12" s="34">
        <v>1.27254</v>
      </c>
      <c r="BQ12" s="35">
        <v>2.2000000000000002</v>
      </c>
    </row>
    <row r="13" spans="2:69">
      <c r="B13" s="53">
        <v>385</v>
      </c>
      <c r="C13" s="54">
        <v>2.2360000000000001E-3</v>
      </c>
      <c r="D13" s="54">
        <v>6.3999999999999997E-5</v>
      </c>
      <c r="E13" s="55">
        <v>1.054999E-2</v>
      </c>
      <c r="F13" s="54">
        <v>6.6244000000000003E-4</v>
      </c>
      <c r="G13" s="55">
        <v>7.1559999999999999E-5</v>
      </c>
      <c r="H13" s="54">
        <v>2.9277999999999999E-3</v>
      </c>
      <c r="I13" s="41">
        <f t="shared" si="7"/>
        <v>10.907163036796408</v>
      </c>
      <c r="J13" s="56">
        <v>26.85</v>
      </c>
      <c r="K13" s="57">
        <v>39.92</v>
      </c>
      <c r="L13" s="56">
        <f t="shared" si="10"/>
        <v>27.138359571279157</v>
      </c>
      <c r="M13" s="57">
        <v>100</v>
      </c>
      <c r="N13" s="57">
        <v>1.48</v>
      </c>
      <c r="O13" s="56">
        <v>3.18</v>
      </c>
      <c r="P13" s="57">
        <v>0.63</v>
      </c>
      <c r="Q13" s="42">
        <f t="shared" si="8"/>
        <v>62.654151011272646</v>
      </c>
      <c r="R13" s="57">
        <v>64.599999999999994</v>
      </c>
      <c r="S13" s="56">
        <v>36.75</v>
      </c>
      <c r="T13" s="57">
        <v>2.1</v>
      </c>
      <c r="U13" s="43">
        <v>-10</v>
      </c>
      <c r="V13" s="48">
        <f>AVERAGE(V12,V14)</f>
        <v>3.66</v>
      </c>
      <c r="W13" s="47">
        <f>AVERAGE(W12,W14)</f>
        <v>4.8055000000000003</v>
      </c>
      <c r="X13" s="48">
        <f t="shared" si="0"/>
        <v>-55.482000000000035</v>
      </c>
      <c r="Y13" s="47">
        <f t="shared" si="1"/>
        <v>-23.650000000000006</v>
      </c>
      <c r="Z13" s="48">
        <f t="shared" si="2"/>
        <v>-9.6980000000000004</v>
      </c>
      <c r="AA13" s="47">
        <f>AVERAGE(AA12,AA14)</f>
        <v>0</v>
      </c>
      <c r="AB13" s="48">
        <v>-10</v>
      </c>
      <c r="AC13" s="47">
        <f>AVERAGE(AC12,AC14)</f>
        <v>2.931</v>
      </c>
      <c r="AD13" s="48">
        <f t="shared" si="3"/>
        <v>-58.990999999999957</v>
      </c>
      <c r="AE13" s="47">
        <f t="shared" si="4"/>
        <v>-7.8580000000000032</v>
      </c>
      <c r="AF13" s="48">
        <f t="shared" si="5"/>
        <v>-4.1470000000000002</v>
      </c>
      <c r="AG13" s="47">
        <v>-10</v>
      </c>
      <c r="AH13" s="48">
        <v>-10</v>
      </c>
      <c r="AI13" s="58">
        <f>AVERAGE(AI12,AI14)</f>
        <v>2.8265000000000002</v>
      </c>
      <c r="AJ13" s="47"/>
      <c r="AK13" s="50">
        <f t="shared" si="9"/>
        <v>1E-13</v>
      </c>
      <c r="AL13" s="42">
        <f t="shared" si="6"/>
        <v>4.5708818961487534</v>
      </c>
      <c r="AM13" s="41">
        <f t="shared" si="6"/>
        <v>63.899873734827835</v>
      </c>
      <c r="AN13" s="42">
        <f t="shared" si="6"/>
        <v>3.2960971217742821E-59</v>
      </c>
      <c r="AO13" s="41">
        <f t="shared" si="6"/>
        <v>2.2387211385683049E-27</v>
      </c>
      <c r="AP13" s="42">
        <f t="shared" si="6"/>
        <v>2.0044720273651576E-13</v>
      </c>
      <c r="AQ13" s="41">
        <f t="shared" si="6"/>
        <v>1E-3</v>
      </c>
      <c r="AR13" s="42">
        <f t="shared" si="6"/>
        <v>1E-13</v>
      </c>
      <c r="AS13" s="41">
        <f t="shared" si="6"/>
        <v>0.85310011401759034</v>
      </c>
      <c r="AT13" s="42">
        <f t="shared" si="6"/>
        <v>1.0209394837077648E-62</v>
      </c>
      <c r="AU13" s="41">
        <f t="shared" si="6"/>
        <v>1.3867558288718763E-11</v>
      </c>
      <c r="AV13" s="42">
        <f t="shared" si="6"/>
        <v>7.1285303012651886E-8</v>
      </c>
      <c r="AW13" s="41">
        <f t="shared" si="6"/>
        <v>1E-13</v>
      </c>
      <c r="AX13" s="42">
        <f t="shared" si="6"/>
        <v>1E-13</v>
      </c>
      <c r="AY13" s="52">
        <f t="shared" si="6"/>
        <v>0.67065628670227839</v>
      </c>
      <c r="AZ13" s="41"/>
      <c r="BA13" s="59">
        <f t="shared" si="11"/>
        <v>27.138359571279157</v>
      </c>
      <c r="BB13" s="60">
        <f t="shared" si="12"/>
        <v>52.261088750417542</v>
      </c>
      <c r="BD13" s="31" t="s">
        <v>24</v>
      </c>
      <c r="BE13" s="63">
        <v>1.4387860000000001E-2</v>
      </c>
      <c r="BG13" s="33" t="s">
        <v>94</v>
      </c>
      <c r="BH13" s="34">
        <v>1.91049</v>
      </c>
      <c r="BI13" s="34">
        <v>-0.98431000000000002</v>
      </c>
      <c r="BJ13" s="34">
        <v>5.83744E-2</v>
      </c>
      <c r="BK13" s="34">
        <v>-0.53259199999999995</v>
      </c>
      <c r="BL13" s="34">
        <v>1.9984500000000001</v>
      </c>
      <c r="BM13" s="34">
        <v>-0.118518</v>
      </c>
      <c r="BN13" s="34">
        <v>-0.28828399999999998</v>
      </c>
      <c r="BO13" s="34">
        <v>-2.8298E-2</v>
      </c>
      <c r="BP13" s="34">
        <v>0.89861100000000005</v>
      </c>
      <c r="BQ13" s="35">
        <v>2.2000000000000002</v>
      </c>
    </row>
    <row r="14" spans="2:69" ht="12" thickBot="1">
      <c r="B14" s="53">
        <v>390</v>
      </c>
      <c r="C14" s="54">
        <v>4.2430000000000002E-3</v>
      </c>
      <c r="D14" s="54">
        <v>1.2E-4</v>
      </c>
      <c r="E14" s="55">
        <v>2.005001E-2</v>
      </c>
      <c r="F14" s="54">
        <v>2.3616000000000002E-3</v>
      </c>
      <c r="G14" s="55">
        <v>2.5339999999999998E-4</v>
      </c>
      <c r="H14" s="54">
        <v>1.0482200000000001E-2</v>
      </c>
      <c r="I14" s="41">
        <f t="shared" si="7"/>
        <v>12.093412306095258</v>
      </c>
      <c r="J14" s="56">
        <v>31.3</v>
      </c>
      <c r="K14" s="57">
        <v>47.4</v>
      </c>
      <c r="L14" s="56">
        <f t="shared" si="10"/>
        <v>29.828847832386526</v>
      </c>
      <c r="M14" s="57">
        <v>100</v>
      </c>
      <c r="N14" s="57">
        <v>1.84</v>
      </c>
      <c r="O14" s="56">
        <v>3.84</v>
      </c>
      <c r="P14" s="57">
        <v>0.46</v>
      </c>
      <c r="Q14" s="42">
        <f t="shared" si="8"/>
        <v>64.65033346435456</v>
      </c>
      <c r="R14" s="57">
        <v>65.8</v>
      </c>
      <c r="S14" s="56">
        <v>35</v>
      </c>
      <c r="T14" s="57">
        <v>1.2</v>
      </c>
      <c r="U14" s="43">
        <v>-10</v>
      </c>
      <c r="V14" s="48">
        <v>4.46</v>
      </c>
      <c r="W14" s="47">
        <v>4.851</v>
      </c>
      <c r="X14" s="48">
        <f t="shared" si="0"/>
        <v>-54.132000000000033</v>
      </c>
      <c r="Y14" s="47">
        <f t="shared" si="1"/>
        <v>-22.550000000000004</v>
      </c>
      <c r="Z14" s="48">
        <f t="shared" si="2"/>
        <v>-7.798</v>
      </c>
      <c r="AA14" s="47">
        <v>0</v>
      </c>
      <c r="AB14" s="48">
        <v>-10</v>
      </c>
      <c r="AC14" s="47">
        <v>3.431</v>
      </c>
      <c r="AD14" s="48">
        <f t="shared" si="3"/>
        <v>-57.69099999999996</v>
      </c>
      <c r="AE14" s="47">
        <f t="shared" si="4"/>
        <v>-7.328000000000003</v>
      </c>
      <c r="AF14" s="48">
        <f t="shared" si="5"/>
        <v>-2.8969999999999998</v>
      </c>
      <c r="AG14" s="47">
        <v>-10</v>
      </c>
      <c r="AH14" s="48">
        <v>-10</v>
      </c>
      <c r="AI14" s="58">
        <v>3.1760000000000002</v>
      </c>
      <c r="AJ14" s="47"/>
      <c r="AK14" s="50">
        <f t="shared" si="9"/>
        <v>1E-13</v>
      </c>
      <c r="AL14" s="42">
        <f t="shared" si="6"/>
        <v>28.840315031266062</v>
      </c>
      <c r="AM14" s="41">
        <f t="shared" si="6"/>
        <v>70.957776796338919</v>
      </c>
      <c r="AN14" s="42">
        <f t="shared" si="6"/>
        <v>7.3790423012903589E-58</v>
      </c>
      <c r="AO14" s="41">
        <f t="shared" si="6"/>
        <v>2.8183829312644201E-26</v>
      </c>
      <c r="AP14" s="42">
        <f t="shared" si="6"/>
        <v>1.5922087270511665E-11</v>
      </c>
      <c r="AQ14" s="41">
        <f t="shared" si="6"/>
        <v>1E-3</v>
      </c>
      <c r="AR14" s="42">
        <f t="shared" si="6"/>
        <v>1E-13</v>
      </c>
      <c r="AS14" s="41">
        <f t="shared" si="6"/>
        <v>2.6977394324449224</v>
      </c>
      <c r="AT14" s="42">
        <f t="shared" si="6"/>
        <v>2.0370420777058627E-61</v>
      </c>
      <c r="AU14" s="41">
        <f t="shared" si="6"/>
        <v>4.6989410860521232E-11</v>
      </c>
      <c r="AV14" s="42">
        <f t="shared" si="6"/>
        <v>1.267651865857845E-6</v>
      </c>
      <c r="AW14" s="41">
        <f t="shared" si="6"/>
        <v>1E-13</v>
      </c>
      <c r="AX14" s="42">
        <f t="shared" si="6"/>
        <v>1E-13</v>
      </c>
      <c r="AY14" s="52">
        <f t="shared" si="6"/>
        <v>1.4996848355023757</v>
      </c>
      <c r="AZ14" s="41"/>
      <c r="BA14" s="59">
        <f t="shared" si="11"/>
        <v>29.828847832386526</v>
      </c>
      <c r="BB14" s="60">
        <f t="shared" si="12"/>
        <v>54.599444915627167</v>
      </c>
      <c r="BD14" s="61" t="s">
        <v>25</v>
      </c>
      <c r="BE14" s="64">
        <f>($BE$12)/(1E-45 * 560*560*560*560*560*(POWER($BE$11,$BE$13/(Blackbody_Temperature*560*0.000000001))-1))</f>
        <v>40092937497550.68</v>
      </c>
      <c r="BG14" s="33" t="s">
        <v>95</v>
      </c>
      <c r="BH14" s="34">
        <v>3.0631300000000001</v>
      </c>
      <c r="BI14" s="34">
        <v>-0.96925799999999995</v>
      </c>
      <c r="BJ14" s="34">
        <v>6.7867399999999994E-2</v>
      </c>
      <c r="BK14" s="34">
        <v>-1.3932800000000001</v>
      </c>
      <c r="BL14" s="34">
        <v>1.87599</v>
      </c>
      <c r="BM14" s="34">
        <v>-0.228821</v>
      </c>
      <c r="BN14" s="34">
        <v>-0.47578799999999999</v>
      </c>
      <c r="BO14" s="34">
        <v>4.1555700000000001E-2</v>
      </c>
      <c r="BP14" s="34">
        <v>1.0691900000000001</v>
      </c>
      <c r="BQ14" s="35">
        <v>2.2000000000000002</v>
      </c>
    </row>
    <row r="15" spans="2:69" ht="12" thickBot="1">
      <c r="B15" s="65">
        <v>395</v>
      </c>
      <c r="C15" s="66">
        <v>7.6499999999999997E-3</v>
      </c>
      <c r="D15" s="66">
        <v>2.1699999999999999E-4</v>
      </c>
      <c r="E15" s="67">
        <v>3.6209999999999999E-2</v>
      </c>
      <c r="F15" s="66">
        <v>7.2423000000000001E-3</v>
      </c>
      <c r="G15" s="67">
        <v>7.6849999999999998E-4</v>
      </c>
      <c r="H15" s="66">
        <v>3.2343999999999998E-2</v>
      </c>
      <c r="I15" s="68">
        <f t="shared" si="7"/>
        <v>13.362829315244634</v>
      </c>
      <c r="J15" s="69">
        <v>36.18</v>
      </c>
      <c r="K15" s="70">
        <v>55.17</v>
      </c>
      <c r="L15" s="69">
        <f t="shared" si="10"/>
        <v>39.537736077782839</v>
      </c>
      <c r="M15" s="70">
        <v>100</v>
      </c>
      <c r="N15" s="70">
        <v>2.15</v>
      </c>
      <c r="O15" s="69">
        <v>4.53</v>
      </c>
      <c r="P15" s="70">
        <v>0.37</v>
      </c>
      <c r="Q15" s="68">
        <f t="shared" si="8"/>
        <v>66.603468816365989</v>
      </c>
      <c r="R15" s="70">
        <v>80.3</v>
      </c>
      <c r="S15" s="69">
        <v>39.200000000000003</v>
      </c>
      <c r="T15" s="70">
        <v>0.05</v>
      </c>
      <c r="U15" s="71">
        <v>-10</v>
      </c>
      <c r="V15" s="72">
        <f>AVERAGE(V14,V16)</f>
        <v>4.7300000000000004</v>
      </c>
      <c r="W15" s="73">
        <f>AVERAGE(W14,W16)</f>
        <v>4.8834999999999997</v>
      </c>
      <c r="X15" s="72">
        <f t="shared" si="0"/>
        <v>-52.782000000000032</v>
      </c>
      <c r="Y15" s="73">
        <f t="shared" si="1"/>
        <v>-21.450000000000003</v>
      </c>
      <c r="Z15" s="72">
        <f t="shared" si="2"/>
        <v>-5.8979999999999997</v>
      </c>
      <c r="AA15" s="73">
        <f>AVERAGE(AA14,AA16)</f>
        <v>0</v>
      </c>
      <c r="AB15" s="72">
        <v>-10</v>
      </c>
      <c r="AC15" s="73">
        <f>AVERAGE(AC14,AC16)</f>
        <v>3.7725</v>
      </c>
      <c r="AD15" s="72">
        <f t="shared" si="3"/>
        <v>-56.390999999999963</v>
      </c>
      <c r="AE15" s="73">
        <f t="shared" si="4"/>
        <v>-6.7980000000000027</v>
      </c>
      <c r="AF15" s="72">
        <f t="shared" si="5"/>
        <v>-1.6469999999999998</v>
      </c>
      <c r="AG15" s="73">
        <v>-10</v>
      </c>
      <c r="AH15" s="72">
        <v>-10</v>
      </c>
      <c r="AI15" s="74">
        <f>AVERAGE(AI14,AI16)</f>
        <v>3.4770000000000003</v>
      </c>
      <c r="AJ15" s="47"/>
      <c r="AK15" s="75">
        <f t="shared" si="9"/>
        <v>1E-13</v>
      </c>
      <c r="AL15" s="68">
        <f t="shared" si="6"/>
        <v>53.703179637025421</v>
      </c>
      <c r="AM15" s="76">
        <f t="shared" si="6"/>
        <v>76.471568843883475</v>
      </c>
      <c r="AN15" s="68">
        <f t="shared" si="6"/>
        <v>1.6519617982288713E-56</v>
      </c>
      <c r="AO15" s="76">
        <f t="shared" si="6"/>
        <v>3.5481338923357247E-25</v>
      </c>
      <c r="AP15" s="68">
        <f t="shared" si="6"/>
        <v>1.2647363474711502E-9</v>
      </c>
      <c r="AQ15" s="76">
        <f t="shared" si="6"/>
        <v>1E-3</v>
      </c>
      <c r="AR15" s="68">
        <f t="shared" si="6"/>
        <v>1E-13</v>
      </c>
      <c r="AS15" s="76">
        <f t="shared" si="6"/>
        <v>5.9224308687613139</v>
      </c>
      <c r="AT15" s="68">
        <f t="shared" si="6"/>
        <v>4.0644332916524813E-60</v>
      </c>
      <c r="AU15" s="76">
        <f t="shared" si="6"/>
        <v>1.592208727051157E-10</v>
      </c>
      <c r="AV15" s="68">
        <f t="shared" si="6"/>
        <v>2.2542392121524296E-5</v>
      </c>
      <c r="AW15" s="76">
        <f t="shared" si="6"/>
        <v>1E-13</v>
      </c>
      <c r="AX15" s="68">
        <f t="shared" si="6"/>
        <v>1E-13</v>
      </c>
      <c r="AY15" s="77">
        <f t="shared" si="6"/>
        <v>2.999162518987657</v>
      </c>
      <c r="AZ15" s="41"/>
      <c r="BA15" s="78">
        <f t="shared" si="11"/>
        <v>39.537736077782839</v>
      </c>
      <c r="BB15" s="79">
        <f t="shared" si="12"/>
        <v>68.646279452909951</v>
      </c>
      <c r="BG15" s="33" t="s">
        <v>96</v>
      </c>
      <c r="BH15" s="34">
        <v>1.3459399999999999</v>
      </c>
      <c r="BI15" s="34">
        <v>-0.54459900000000006</v>
      </c>
      <c r="BJ15" s="34">
        <v>6.1105099999999996E-8</v>
      </c>
      <c r="BK15" s="34">
        <v>-0.255608</v>
      </c>
      <c r="BL15" s="34">
        <v>1.50817</v>
      </c>
      <c r="BM15" s="34">
        <v>-3.30911E-8</v>
      </c>
      <c r="BN15" s="34">
        <v>-5.1111799999999999E-2</v>
      </c>
      <c r="BO15" s="34">
        <v>2.0535100000000001E-2</v>
      </c>
      <c r="BP15" s="34">
        <v>1.2118100000000001</v>
      </c>
      <c r="BQ15" s="35">
        <v>1.8</v>
      </c>
    </row>
    <row r="16" spans="2:69" ht="12.6" thickBot="1">
      <c r="B16" s="53">
        <v>400</v>
      </c>
      <c r="C16" s="54">
        <v>1.431E-2</v>
      </c>
      <c r="D16" s="54">
        <v>3.9599999999999998E-4</v>
      </c>
      <c r="E16" s="55">
        <v>6.7850010000000002E-2</v>
      </c>
      <c r="F16" s="54">
        <v>1.91097E-2</v>
      </c>
      <c r="G16" s="55">
        <v>2.0043999999999999E-3</v>
      </c>
      <c r="H16" s="54">
        <v>8.6010900000000001E-2</v>
      </c>
      <c r="I16" s="41">
        <f t="shared" si="7"/>
        <v>14.717047084402006</v>
      </c>
      <c r="J16" s="56">
        <v>41.3</v>
      </c>
      <c r="K16" s="57">
        <v>63.3</v>
      </c>
      <c r="L16" s="56">
        <f t="shared" si="10"/>
        <v>49.246624323179162</v>
      </c>
      <c r="M16" s="57">
        <v>100</v>
      </c>
      <c r="N16" s="57">
        <v>3.44</v>
      </c>
      <c r="O16" s="56">
        <v>6.15</v>
      </c>
      <c r="P16" s="57">
        <v>1.29</v>
      </c>
      <c r="Q16" s="42">
        <f t="shared" si="8"/>
        <v>68.510743985611626</v>
      </c>
      <c r="R16" s="57">
        <v>94.8</v>
      </c>
      <c r="S16" s="56">
        <v>43.4</v>
      </c>
      <c r="T16" s="57">
        <v>-1.1000000000000001</v>
      </c>
      <c r="U16" s="80">
        <v>1</v>
      </c>
      <c r="V16" s="48">
        <v>5</v>
      </c>
      <c r="W16" s="47">
        <v>4.9160000000000004</v>
      </c>
      <c r="X16" s="48">
        <f t="shared" si="0"/>
        <v>-51.432000000000031</v>
      </c>
      <c r="Y16" s="47">
        <f t="shared" si="1"/>
        <v>-20.350000000000001</v>
      </c>
      <c r="Z16" s="48">
        <f t="shared" si="2"/>
        <v>-3.9979999999999998</v>
      </c>
      <c r="AA16" s="47">
        <v>0</v>
      </c>
      <c r="AB16" s="48">
        <v>-10</v>
      </c>
      <c r="AC16" s="47">
        <v>4.1139999999999999</v>
      </c>
      <c r="AD16" s="48">
        <f t="shared" si="3"/>
        <v>-55.090999999999966</v>
      </c>
      <c r="AE16" s="47">
        <f t="shared" si="4"/>
        <v>-6.2680000000000025</v>
      </c>
      <c r="AF16" s="48">
        <f>AF17-1.25</f>
        <v>-0.3969999999999998</v>
      </c>
      <c r="AG16" s="47">
        <v>-10</v>
      </c>
      <c r="AH16" s="48">
        <v>-10</v>
      </c>
      <c r="AI16" s="58">
        <v>3.778</v>
      </c>
      <c r="AJ16" s="47"/>
      <c r="AK16" s="50">
        <f t="shared" si="9"/>
        <v>0.01</v>
      </c>
      <c r="AL16" s="42">
        <f t="shared" si="6"/>
        <v>100</v>
      </c>
      <c r="AM16" s="41">
        <f t="shared" si="6"/>
        <v>82.413811501300373</v>
      </c>
      <c r="AN16" s="42">
        <f t="shared" si="6"/>
        <v>3.6982817978023453E-55</v>
      </c>
      <c r="AO16" s="41">
        <f t="shared" si="6"/>
        <v>4.4668359215096103E-24</v>
      </c>
      <c r="AP16" s="42">
        <f t="shared" si="6"/>
        <v>1.0046157902783958E-7</v>
      </c>
      <c r="AQ16" s="41">
        <f t="shared" si="6"/>
        <v>1E-3</v>
      </c>
      <c r="AR16" s="42">
        <f t="shared" si="6"/>
        <v>1E-13</v>
      </c>
      <c r="AS16" s="41">
        <f t="shared" si="6"/>
        <v>13.001695780332913</v>
      </c>
      <c r="AT16" s="42">
        <f t="shared" si="6"/>
        <v>8.1096105785390114E-59</v>
      </c>
      <c r="AU16" s="41">
        <f t="shared" si="6"/>
        <v>5.3951062251512434E-10</v>
      </c>
      <c r="AV16" s="42">
        <f t="shared" si="6"/>
        <v>4.0086671762730295E-4</v>
      </c>
      <c r="AW16" s="41">
        <f t="shared" si="6"/>
        <v>1E-13</v>
      </c>
      <c r="AX16" s="42">
        <f t="shared" si="6"/>
        <v>1E-13</v>
      </c>
      <c r="AY16" s="52">
        <f t="shared" si="6"/>
        <v>5.9979107625551036</v>
      </c>
      <c r="AZ16" s="41"/>
      <c r="BA16" s="59">
        <f t="shared" si="11"/>
        <v>49.246624323179162</v>
      </c>
      <c r="BB16" s="60">
        <f t="shared" si="12"/>
        <v>82.693113990192757</v>
      </c>
      <c r="BD16" s="319" t="s">
        <v>70</v>
      </c>
      <c r="BE16" s="320"/>
      <c r="BG16" s="33" t="s">
        <v>97</v>
      </c>
      <c r="BH16" s="34">
        <v>3.5057</v>
      </c>
      <c r="BI16" s="34">
        <v>-1.0690599999999999</v>
      </c>
      <c r="BJ16" s="34">
        <v>5.6311699999999999E-2</v>
      </c>
      <c r="BK16" s="34">
        <v>-1.7396400000000001</v>
      </c>
      <c r="BL16" s="34">
        <v>1.9778100000000001</v>
      </c>
      <c r="BM16" s="34">
        <v>-0.196994</v>
      </c>
      <c r="BN16" s="34">
        <v>-0.54401100000000002</v>
      </c>
      <c r="BO16" s="34">
        <v>3.5172000000000002E-2</v>
      </c>
      <c r="BP16" s="34">
        <v>1.0500499999999999</v>
      </c>
      <c r="BQ16" s="35">
        <v>2.2000000000000002</v>
      </c>
    </row>
    <row r="17" spans="2:69">
      <c r="B17" s="53">
        <v>405</v>
      </c>
      <c r="C17" s="54">
        <v>2.3189999999999999E-2</v>
      </c>
      <c r="D17" s="54">
        <v>6.4000000000000005E-4</v>
      </c>
      <c r="E17" s="55">
        <v>0.11020000000000001</v>
      </c>
      <c r="F17" s="54">
        <v>4.3400000000000001E-2</v>
      </c>
      <c r="G17" s="55">
        <v>4.509E-3</v>
      </c>
      <c r="H17" s="54">
        <v>0.19711999999999999</v>
      </c>
      <c r="I17" s="41">
        <f t="shared" si="7"/>
        <v>16.157447132971534</v>
      </c>
      <c r="J17" s="56">
        <v>46.62</v>
      </c>
      <c r="K17" s="57">
        <v>71.81</v>
      </c>
      <c r="L17" s="56">
        <f t="shared" si="10"/>
        <v>52.848182967463543</v>
      </c>
      <c r="M17" s="57">
        <v>100</v>
      </c>
      <c r="N17" s="57">
        <v>15.69</v>
      </c>
      <c r="O17" s="56">
        <v>19.37</v>
      </c>
      <c r="P17" s="57">
        <v>12.68</v>
      </c>
      <c r="Q17" s="42">
        <f t="shared" si="8"/>
        <v>70.369627888479258</v>
      </c>
      <c r="R17" s="57">
        <v>99.8</v>
      </c>
      <c r="S17" s="56">
        <v>44.85</v>
      </c>
      <c r="T17" s="57">
        <v>-0.8</v>
      </c>
      <c r="U17" s="80">
        <f>AVERAGE(U16,U18)</f>
        <v>1.161</v>
      </c>
      <c r="V17" s="48">
        <f>AVERAGE(V16,V18)</f>
        <v>4.7300000000000004</v>
      </c>
      <c r="W17" s="47">
        <f>AVERAGE(W16,W18)</f>
        <v>4.9359999999999999</v>
      </c>
      <c r="X17" s="48">
        <f t="shared" si="0"/>
        <v>-50.082000000000029</v>
      </c>
      <c r="Y17" s="47">
        <f t="shared" si="1"/>
        <v>-19.25</v>
      </c>
      <c r="Z17" s="48">
        <f t="shared" si="2"/>
        <v>-2.0979999999999999</v>
      </c>
      <c r="AA17" s="47">
        <f>AVERAGE(AA16,AA18)</f>
        <v>0</v>
      </c>
      <c r="AB17" s="48">
        <v>-10</v>
      </c>
      <c r="AC17" s="47">
        <f>AVERAGE(AC16,AC18)</f>
        <v>4.2955000000000005</v>
      </c>
      <c r="AD17" s="48">
        <f t="shared" si="3"/>
        <v>-53.790999999999968</v>
      </c>
      <c r="AE17" s="47">
        <f t="shared" si="4"/>
        <v>-5.7380000000000022</v>
      </c>
      <c r="AF17" s="48">
        <f>AF18-1.25</f>
        <v>0.8530000000000002</v>
      </c>
      <c r="AG17" s="47">
        <v>-10</v>
      </c>
      <c r="AH17" s="48">
        <v>-10</v>
      </c>
      <c r="AI17" s="58">
        <f>AVERAGE(AI16,AI18)</f>
        <v>4.0040000000000004</v>
      </c>
      <c r="AJ17" s="47"/>
      <c r="AK17" s="50">
        <f t="shared" si="9"/>
        <v>1.448771853544762E-2</v>
      </c>
      <c r="AL17" s="42">
        <f t="shared" si="6"/>
        <v>53.703179637025421</v>
      </c>
      <c r="AM17" s="41">
        <f t="shared" si="6"/>
        <v>86.297854776697164</v>
      </c>
      <c r="AN17" s="42">
        <f t="shared" si="6"/>
        <v>8.2794216371226444E-54</v>
      </c>
      <c r="AO17" s="41">
        <f t="shared" si="6"/>
        <v>5.6234132519034855E-23</v>
      </c>
      <c r="AP17" s="42">
        <f t="shared" si="6"/>
        <v>7.979946872679767E-6</v>
      </c>
      <c r="AQ17" s="41">
        <f t="shared" si="6"/>
        <v>1E-3</v>
      </c>
      <c r="AR17" s="42">
        <f t="shared" si="6"/>
        <v>1E-13</v>
      </c>
      <c r="AS17" s="41">
        <f t="shared" si="6"/>
        <v>19.746948794093353</v>
      </c>
      <c r="AT17" s="42">
        <f t="shared" si="6"/>
        <v>1.6180800376431663E-57</v>
      </c>
      <c r="AU17" s="41">
        <f t="shared" si="6"/>
        <v>1.828100216142732E-9</v>
      </c>
      <c r="AV17" s="42">
        <f t="shared" si="6"/>
        <v>7.1285303012651995E-3</v>
      </c>
      <c r="AW17" s="41">
        <f t="shared" si="6"/>
        <v>1E-13</v>
      </c>
      <c r="AX17" s="42">
        <f t="shared" si="6"/>
        <v>1E-13</v>
      </c>
      <c r="AY17" s="52">
        <f t="shared" si="6"/>
        <v>10.092528860766862</v>
      </c>
      <c r="AZ17" s="41"/>
      <c r="BA17" s="59">
        <f t="shared" si="11"/>
        <v>52.848182967463543</v>
      </c>
      <c r="BB17" s="60">
        <f t="shared" si="12"/>
        <v>87.05677273260612</v>
      </c>
      <c r="BD17" s="31" t="s">
        <v>71</v>
      </c>
      <c r="BE17" s="32">
        <v>2856</v>
      </c>
      <c r="BG17" s="33" t="s">
        <v>98</v>
      </c>
      <c r="BH17" s="34">
        <v>3.24071</v>
      </c>
      <c r="BI17" s="34">
        <v>-0.96925799999999995</v>
      </c>
      <c r="BJ17" s="34">
        <v>5.5635200000000003E-2</v>
      </c>
      <c r="BK17" s="34">
        <v>-1.5372600000000001</v>
      </c>
      <c r="BL17" s="34">
        <v>1.87599</v>
      </c>
      <c r="BM17" s="34">
        <v>-0.20399600000000001</v>
      </c>
      <c r="BN17" s="34">
        <v>-0.49857099999999999</v>
      </c>
      <c r="BO17" s="34">
        <v>4.1555700000000001E-2</v>
      </c>
      <c r="BP17" s="34">
        <v>1.05707</v>
      </c>
      <c r="BQ17" s="35">
        <v>2.4</v>
      </c>
    </row>
    <row r="18" spans="2:69" ht="12" thickBot="1">
      <c r="B18" s="53">
        <v>410</v>
      </c>
      <c r="C18" s="54">
        <v>4.351E-2</v>
      </c>
      <c r="D18" s="54">
        <v>1.2099999999999999E-3</v>
      </c>
      <c r="E18" s="55">
        <v>0.2074</v>
      </c>
      <c r="F18" s="54">
        <v>8.4736000000000006E-2</v>
      </c>
      <c r="G18" s="55">
        <v>8.7559999999999999E-3</v>
      </c>
      <c r="H18" s="54">
        <v>0.38936599999999999</v>
      </c>
      <c r="I18" s="41">
        <f t="shared" si="7"/>
        <v>17.685153530605433</v>
      </c>
      <c r="J18" s="56">
        <v>52.1</v>
      </c>
      <c r="K18" s="57">
        <v>80.599999999999994</v>
      </c>
      <c r="L18" s="56">
        <f t="shared" si="10"/>
        <v>56.449741611747939</v>
      </c>
      <c r="M18" s="57">
        <v>100</v>
      </c>
      <c r="N18" s="57">
        <v>3.85</v>
      </c>
      <c r="O18" s="56">
        <v>7.37</v>
      </c>
      <c r="P18" s="57">
        <v>1.59</v>
      </c>
      <c r="Q18" s="42">
        <f t="shared" si="8"/>
        <v>72.177864049731781</v>
      </c>
      <c r="R18" s="57">
        <v>104.8</v>
      </c>
      <c r="S18" s="56">
        <v>46.3</v>
      </c>
      <c r="T18" s="57">
        <v>-0.5</v>
      </c>
      <c r="U18" s="80">
        <v>1.3220000000000001</v>
      </c>
      <c r="V18" s="48">
        <v>4.46</v>
      </c>
      <c r="W18" s="47">
        <v>4.9560000000000004</v>
      </c>
      <c r="X18" s="48">
        <f t="shared" si="0"/>
        <v>-48.732000000000028</v>
      </c>
      <c r="Y18" s="47">
        <f t="shared" si="1"/>
        <v>-18.149999999999999</v>
      </c>
      <c r="Z18" s="48">
        <f>Z19-1.9</f>
        <v>-0.19799999999999995</v>
      </c>
      <c r="AA18" s="47">
        <v>0</v>
      </c>
      <c r="AB18" s="48">
        <v>-10</v>
      </c>
      <c r="AC18" s="47">
        <v>4.4770000000000003</v>
      </c>
      <c r="AD18" s="48">
        <f t="shared" si="3"/>
        <v>-52.490999999999971</v>
      </c>
      <c r="AE18" s="47">
        <f t="shared" si="4"/>
        <v>-5.208000000000002</v>
      </c>
      <c r="AF18" s="48">
        <v>2.1030000000000002</v>
      </c>
      <c r="AG18" s="47">
        <v>-10</v>
      </c>
      <c r="AH18" s="48">
        <v>-10</v>
      </c>
      <c r="AI18" s="58">
        <v>4.2300000000000004</v>
      </c>
      <c r="AJ18" s="47"/>
      <c r="AK18" s="50">
        <f t="shared" si="9"/>
        <v>2.0989398836235251E-2</v>
      </c>
      <c r="AL18" s="42">
        <f t="shared" si="6"/>
        <v>28.840315031266062</v>
      </c>
      <c r="AM18" s="41">
        <f t="shared" si="6"/>
        <v>90.364947372230262</v>
      </c>
      <c r="AN18" s="42">
        <f t="shared" si="6"/>
        <v>1.8535316234146838E-52</v>
      </c>
      <c r="AO18" s="41">
        <f t="shared" si="6"/>
        <v>7.0794578438414001E-22</v>
      </c>
      <c r="AP18" s="42">
        <f t="shared" si="6"/>
        <v>6.3386971125692707E-4</v>
      </c>
      <c r="AQ18" s="41">
        <f t="shared" si="6"/>
        <v>1E-3</v>
      </c>
      <c r="AR18" s="42">
        <f t="shared" si="6"/>
        <v>1E-13</v>
      </c>
      <c r="AS18" s="41">
        <f t="shared" si="6"/>
        <v>29.991625189876547</v>
      </c>
      <c r="AT18" s="42">
        <f t="shared" si="6"/>
        <v>3.2284941217127956E-56</v>
      </c>
      <c r="AU18" s="41">
        <f t="shared" si="6"/>
        <v>6.1944107507677793E-9</v>
      </c>
      <c r="AV18" s="42">
        <f t="shared" si="6"/>
        <v>0.12676518658578464</v>
      </c>
      <c r="AW18" s="41">
        <f t="shared" si="6"/>
        <v>1E-13</v>
      </c>
      <c r="AX18" s="42">
        <f t="shared" si="6"/>
        <v>1E-13</v>
      </c>
      <c r="AY18" s="52">
        <f t="shared" si="6"/>
        <v>16.982436524617484</v>
      </c>
      <c r="AZ18" s="41"/>
      <c r="BA18" s="59">
        <f t="shared" si="11"/>
        <v>56.449741611747939</v>
      </c>
      <c r="BB18" s="60">
        <f t="shared" si="12"/>
        <v>91.420431475019484</v>
      </c>
      <c r="BD18" s="61" t="s">
        <v>25</v>
      </c>
      <c r="BE18" s="64">
        <f>($BE$12)/(1E-45 * 560*560*560*560*560*(POWER($BE$11,$BE$13/($BE$17*560*0.000000001))-1))</f>
        <v>841937916959.75549</v>
      </c>
      <c r="BG18" s="81" t="s">
        <v>99</v>
      </c>
      <c r="BH18" s="82">
        <v>1.4628099999999999</v>
      </c>
      <c r="BI18" s="82">
        <v>-0.52179299999999995</v>
      </c>
      <c r="BJ18" s="82">
        <v>3.4934199999999999E-2</v>
      </c>
      <c r="BK18" s="82">
        <v>-0.184062</v>
      </c>
      <c r="BL18" s="82">
        <v>1.4472400000000001</v>
      </c>
      <c r="BM18" s="82">
        <v>-9.6893099999999996E-2</v>
      </c>
      <c r="BN18" s="82">
        <v>-0.27436100000000002</v>
      </c>
      <c r="BO18" s="82">
        <v>6.77228E-2</v>
      </c>
      <c r="BP18" s="82">
        <v>1.2884100000000001</v>
      </c>
      <c r="BQ18" s="83">
        <v>2.2000000000000002</v>
      </c>
    </row>
    <row r="19" spans="2:69" ht="12" thickBot="1">
      <c r="B19" s="53">
        <v>415</v>
      </c>
      <c r="C19" s="54">
        <v>7.7630000000000005E-2</v>
      </c>
      <c r="D19" s="54">
        <v>2.1800000000000001E-3</v>
      </c>
      <c r="E19" s="55">
        <v>0.37130000000000002</v>
      </c>
      <c r="F19" s="54">
        <v>0.14063800000000001</v>
      </c>
      <c r="G19" s="55">
        <v>1.4456E-2</v>
      </c>
      <c r="H19" s="54">
        <v>0.65676000000000001</v>
      </c>
      <c r="I19" s="41">
        <f t="shared" si="7"/>
        <v>19.301028906531293</v>
      </c>
      <c r="J19" s="56">
        <v>57.7</v>
      </c>
      <c r="K19" s="57">
        <v>89.53</v>
      </c>
      <c r="L19" s="56">
        <f t="shared" si="10"/>
        <v>58.211452446087087</v>
      </c>
      <c r="M19" s="57">
        <v>100</v>
      </c>
      <c r="N19" s="57">
        <v>3.74</v>
      </c>
      <c r="O19" s="56">
        <v>7.05</v>
      </c>
      <c r="P19" s="57">
        <v>1.79</v>
      </c>
      <c r="Q19" s="42">
        <f t="shared" si="8"/>
        <v>73.933462049571361</v>
      </c>
      <c r="R19" s="57">
        <v>105.35</v>
      </c>
      <c r="S19" s="56">
        <v>45.1</v>
      </c>
      <c r="T19" s="57">
        <v>-0.6</v>
      </c>
      <c r="U19" s="80">
        <f t="shared" ref="U19:AI19" si="13">AVERAGE(U18,U20)</f>
        <v>1.6179999999999999</v>
      </c>
      <c r="V19" s="48">
        <f t="shared" si="13"/>
        <v>3.66</v>
      </c>
      <c r="W19" s="47">
        <f t="shared" si="13"/>
        <v>4.9720000000000004</v>
      </c>
      <c r="X19" s="48">
        <f t="shared" si="0"/>
        <v>-47.382000000000026</v>
      </c>
      <c r="Y19" s="47">
        <f t="shared" si="1"/>
        <v>-17.049999999999997</v>
      </c>
      <c r="Z19" s="48">
        <f>Z20-1.9</f>
        <v>1.702</v>
      </c>
      <c r="AA19" s="47">
        <f t="shared" si="13"/>
        <v>0</v>
      </c>
      <c r="AB19" s="48">
        <v>-10</v>
      </c>
      <c r="AC19" s="47">
        <f t="shared" si="13"/>
        <v>4.6274999999999995</v>
      </c>
      <c r="AD19" s="48">
        <f t="shared" si="3"/>
        <v>-51.190999999999974</v>
      </c>
      <c r="AE19" s="47">
        <f t="shared" si="4"/>
        <v>-4.6780000000000017</v>
      </c>
      <c r="AF19" s="48">
        <f t="shared" si="13"/>
        <v>3.1070000000000002</v>
      </c>
      <c r="AG19" s="47">
        <v>-10</v>
      </c>
      <c r="AH19" s="48">
        <v>-10</v>
      </c>
      <c r="AI19" s="58">
        <f t="shared" si="13"/>
        <v>4.4160000000000004</v>
      </c>
      <c r="AJ19" s="47"/>
      <c r="AK19" s="50">
        <f t="shared" si="9"/>
        <v>4.1495404263436293E-2</v>
      </c>
      <c r="AL19" s="42">
        <f t="shared" si="6"/>
        <v>4.5708818961487534</v>
      </c>
      <c r="AM19" s="41">
        <f t="shared" si="6"/>
        <v>93.756200692588195</v>
      </c>
      <c r="AN19" s="42">
        <f t="shared" si="6"/>
        <v>4.1495404263433493E-51</v>
      </c>
      <c r="AO19" s="41">
        <f t="shared" si="6"/>
        <v>8.9125093813374506E-21</v>
      </c>
      <c r="AP19" s="42">
        <f t="shared" si="6"/>
        <v>5.0350060878790494E-2</v>
      </c>
      <c r="AQ19" s="41">
        <f t="shared" si="6"/>
        <v>1E-3</v>
      </c>
      <c r="AR19" s="42">
        <f t="shared" si="6"/>
        <v>1E-13</v>
      </c>
      <c r="AS19" s="41">
        <f t="shared" si="6"/>
        <v>42.413098391048827</v>
      </c>
      <c r="AT19" s="42">
        <f t="shared" si="6"/>
        <v>6.4416926551521039E-55</v>
      </c>
      <c r="AU19" s="41">
        <f t="shared" si="6"/>
        <v>2.0989398836235128E-8</v>
      </c>
      <c r="AV19" s="42">
        <f t="shared" si="6"/>
        <v>1.2793813041575262</v>
      </c>
      <c r="AW19" s="41">
        <f t="shared" si="6"/>
        <v>1E-13</v>
      </c>
      <c r="AX19" s="42">
        <f t="shared" si="6"/>
        <v>1E-13</v>
      </c>
      <c r="AY19" s="52">
        <f t="shared" si="6"/>
        <v>26.061535499988985</v>
      </c>
      <c r="AZ19" s="41"/>
      <c r="BA19" s="59">
        <f t="shared" si="11"/>
        <v>58.211452446087087</v>
      </c>
      <c r="BB19" s="60">
        <f t="shared" si="12"/>
        <v>92.394972837321831</v>
      </c>
      <c r="BE19" s="84"/>
    </row>
    <row r="20" spans="2:69" ht="12.6" thickBot="1">
      <c r="B20" s="53">
        <v>420</v>
      </c>
      <c r="C20" s="54">
        <v>0.13438</v>
      </c>
      <c r="D20" s="54">
        <v>4.0000000000000001E-3</v>
      </c>
      <c r="E20" s="55">
        <v>0.64559999999999995</v>
      </c>
      <c r="F20" s="54">
        <v>0.20449200000000001</v>
      </c>
      <c r="G20" s="55">
        <v>2.1391E-2</v>
      </c>
      <c r="H20" s="54">
        <v>0.97254200000000002</v>
      </c>
      <c r="I20" s="41">
        <f t="shared" si="7"/>
        <v>21.005672347467168</v>
      </c>
      <c r="J20" s="56">
        <v>63.2</v>
      </c>
      <c r="K20" s="57">
        <v>98.1</v>
      </c>
      <c r="L20" s="56">
        <f t="shared" si="10"/>
        <v>59.97316328042627</v>
      </c>
      <c r="M20" s="57">
        <v>100</v>
      </c>
      <c r="N20" s="57">
        <v>4.1900000000000004</v>
      </c>
      <c r="O20" s="56">
        <v>7.71</v>
      </c>
      <c r="P20" s="57">
        <v>2.46</v>
      </c>
      <c r="Q20" s="42">
        <f t="shared" si="8"/>
        <v>75.634688016364393</v>
      </c>
      <c r="R20" s="57">
        <v>105.9</v>
      </c>
      <c r="S20" s="56">
        <v>43.9</v>
      </c>
      <c r="T20" s="57">
        <v>-0.7</v>
      </c>
      <c r="U20" s="80">
        <v>1.9139999999999999</v>
      </c>
      <c r="V20" s="48">
        <v>2.86</v>
      </c>
      <c r="W20" s="47">
        <v>4.9880000000000004</v>
      </c>
      <c r="X20" s="48">
        <f t="shared" si="0"/>
        <v>-46.032000000000025</v>
      </c>
      <c r="Y20" s="47">
        <f t="shared" si="1"/>
        <v>-15.949999999999998</v>
      </c>
      <c r="Z20" s="48">
        <v>3.6019999999999999</v>
      </c>
      <c r="AA20" s="47">
        <v>0</v>
      </c>
      <c r="AB20" s="48">
        <v>-10</v>
      </c>
      <c r="AC20" s="47">
        <v>4.7779999999999996</v>
      </c>
      <c r="AD20" s="48">
        <f t="shared" si="3"/>
        <v>-49.890999999999977</v>
      </c>
      <c r="AE20" s="47">
        <f t="shared" si="4"/>
        <v>-4.1480000000000015</v>
      </c>
      <c r="AF20" s="48">
        <v>4.1109999999999998</v>
      </c>
      <c r="AG20" s="47">
        <v>-10</v>
      </c>
      <c r="AH20" s="48">
        <v>-10</v>
      </c>
      <c r="AI20" s="58">
        <v>4.6020000000000003</v>
      </c>
      <c r="AJ20" s="47"/>
      <c r="AK20" s="50">
        <f t="shared" si="9"/>
        <v>8.2035154432981872E-2</v>
      </c>
      <c r="AL20" s="42">
        <f t="shared" ref="AL20:AL83" si="14">POWER(10,V20)/1000</f>
        <v>0.72443596007499023</v>
      </c>
      <c r="AM20" s="41">
        <f t="shared" ref="AM20:AM83" si="15">POWER(10,W20)/1000</f>
        <v>97.274722377696747</v>
      </c>
      <c r="AN20" s="42">
        <f t="shared" ref="AN20:AN83" si="16">POWER(10,X20)/1000</f>
        <v>9.2896638677987478E-50</v>
      </c>
      <c r="AO20" s="41">
        <f t="shared" ref="AO20:AO83" si="17">POWER(10,Y20)/1000</f>
        <v>1.122018454301967E-19</v>
      </c>
      <c r="AP20" s="42">
        <f t="shared" ref="AP20:AP83" si="18">POWER(10,Z20)/1000</f>
        <v>3.9994474976109777</v>
      </c>
      <c r="AQ20" s="41">
        <f t="shared" ref="AQ20:AQ83" si="19">POWER(10,AA20)/1000</f>
        <v>1E-3</v>
      </c>
      <c r="AR20" s="42">
        <f t="shared" ref="AR20:AR83" si="20">POWER(10,AB20)/1000</f>
        <v>1E-13</v>
      </c>
      <c r="AS20" s="41">
        <f t="shared" ref="AS20:AS83" si="21">POWER(10,AC20)/1000</f>
        <v>59.979107625550995</v>
      </c>
      <c r="AT20" s="42">
        <f t="shared" ref="AT20:AT83" si="22">POWER(10,AD20)/1000</f>
        <v>1.2852866599436654E-53</v>
      </c>
      <c r="AU20" s="41">
        <f t="shared" ref="AU20:AU83" si="23">POWER(10,AE20)/1000</f>
        <v>7.1121351365332544E-8</v>
      </c>
      <c r="AV20" s="42">
        <f t="shared" ref="AV20:AV83" si="24">POWER(10,AF20)/1000</f>
        <v>12.912192736135347</v>
      </c>
      <c r="AW20" s="41">
        <f t="shared" ref="AW20:AW83" si="25">POWER(10,AG20)/1000</f>
        <v>1E-13</v>
      </c>
      <c r="AX20" s="42">
        <f t="shared" ref="AX20:AX83" si="26">POWER(10,AH20)/1000</f>
        <v>1E-13</v>
      </c>
      <c r="AY20" s="52">
        <f t="shared" ref="AY20:AY83" si="27">POWER(10,AI20)/1000</f>
        <v>39.994474976109821</v>
      </c>
      <c r="AZ20" s="41"/>
      <c r="BA20" s="59">
        <f t="shared" si="11"/>
        <v>59.97316328042627</v>
      </c>
      <c r="BB20" s="60">
        <f t="shared" si="12"/>
        <v>93.369514199624192</v>
      </c>
      <c r="BD20" s="319" t="s">
        <v>104</v>
      </c>
      <c r="BE20" s="320"/>
      <c r="BG20" s="85" t="s">
        <v>31</v>
      </c>
      <c r="BH20" s="14" t="s">
        <v>35</v>
      </c>
      <c r="BI20" s="86" t="s">
        <v>36</v>
      </c>
      <c r="BJ20" s="12" t="s">
        <v>37</v>
      </c>
    </row>
    <row r="21" spans="2:69">
      <c r="B21" s="53">
        <v>425</v>
      </c>
      <c r="C21" s="54">
        <v>0.21476999999999999</v>
      </c>
      <c r="D21" s="54">
        <v>7.3000000000000001E-3</v>
      </c>
      <c r="E21" s="55">
        <v>1.0390501000000001</v>
      </c>
      <c r="F21" s="54">
        <v>0.264737</v>
      </c>
      <c r="G21" s="55">
        <v>2.9496999999999999E-2</v>
      </c>
      <c r="H21" s="54">
        <v>1.2825</v>
      </c>
      <c r="I21" s="41">
        <f t="shared" si="7"/>
        <v>22.799419098530318</v>
      </c>
      <c r="J21" s="56">
        <v>68.37</v>
      </c>
      <c r="K21" s="57">
        <v>105.8</v>
      </c>
      <c r="L21" s="56">
        <f t="shared" si="10"/>
        <v>58.868568951818695</v>
      </c>
      <c r="M21" s="57">
        <v>100</v>
      </c>
      <c r="N21" s="57">
        <v>4.62</v>
      </c>
      <c r="O21" s="56">
        <v>8.41</v>
      </c>
      <c r="P21" s="57">
        <v>3.38</v>
      </c>
      <c r="Q21" s="42">
        <f t="shared" si="8"/>
        <v>77.280054355893014</v>
      </c>
      <c r="R21" s="57">
        <v>101.35</v>
      </c>
      <c r="S21" s="56">
        <v>40.5</v>
      </c>
      <c r="T21" s="57">
        <v>-0.95</v>
      </c>
      <c r="U21" s="80">
        <f t="shared" ref="U21:AI21" si="28">AVERAGE(U20,U22)</f>
        <v>2.1804999999999999</v>
      </c>
      <c r="V21" s="48">
        <f t="shared" si="28"/>
        <v>2.25</v>
      </c>
      <c r="W21" s="47">
        <f t="shared" si="28"/>
        <v>4.9939999999999998</v>
      </c>
      <c r="X21" s="48">
        <f t="shared" si="0"/>
        <v>-44.682000000000023</v>
      </c>
      <c r="Y21" s="47">
        <f t="shared" si="1"/>
        <v>-14.849999999999998</v>
      </c>
      <c r="Z21" s="48">
        <f t="shared" si="28"/>
        <v>4.2104999999999997</v>
      </c>
      <c r="AA21" s="47">
        <f t="shared" si="28"/>
        <v>0</v>
      </c>
      <c r="AB21" s="48">
        <v>-10</v>
      </c>
      <c r="AC21" s="47">
        <f t="shared" si="28"/>
        <v>4.8460000000000001</v>
      </c>
      <c r="AD21" s="48">
        <f t="shared" si="3"/>
        <v>-48.59099999999998</v>
      </c>
      <c r="AE21" s="47">
        <f t="shared" si="4"/>
        <v>-3.6180000000000012</v>
      </c>
      <c r="AF21" s="48">
        <f t="shared" si="28"/>
        <v>4.3714999999999993</v>
      </c>
      <c r="AG21" s="47">
        <v>-10</v>
      </c>
      <c r="AH21" s="48">
        <v>-10</v>
      </c>
      <c r="AI21" s="58">
        <f t="shared" si="28"/>
        <v>4.6899999999999995</v>
      </c>
      <c r="AJ21" s="47"/>
      <c r="AK21" s="50">
        <f t="shared" si="9"/>
        <v>0.15153048036987019</v>
      </c>
      <c r="AL21" s="42">
        <f t="shared" si="14"/>
        <v>0.17782794100389243</v>
      </c>
      <c r="AM21" s="41">
        <f t="shared" si="15"/>
        <v>98.627948563121166</v>
      </c>
      <c r="AN21" s="42">
        <f t="shared" si="16"/>
        <v>2.0796966871035608E-48</v>
      </c>
      <c r="AO21" s="41">
        <f t="shared" si="17"/>
        <v>1.4125375446227539E-18</v>
      </c>
      <c r="AP21" s="42">
        <f t="shared" si="18"/>
        <v>16.236783504824423</v>
      </c>
      <c r="AQ21" s="41">
        <f t="shared" si="19"/>
        <v>1E-3</v>
      </c>
      <c r="AR21" s="42">
        <f t="shared" si="20"/>
        <v>1E-13</v>
      </c>
      <c r="AS21" s="41">
        <f t="shared" si="21"/>
        <v>70.14552984199716</v>
      </c>
      <c r="AT21" s="42">
        <f t="shared" si="22"/>
        <v>2.5644840365178214E-52</v>
      </c>
      <c r="AU21" s="41">
        <f t="shared" si="23"/>
        <v>2.4099054286865875E-7</v>
      </c>
      <c r="AV21" s="42">
        <f t="shared" si="24"/>
        <v>23.52339493388947</v>
      </c>
      <c r="AW21" s="41">
        <f t="shared" si="25"/>
        <v>1E-13</v>
      </c>
      <c r="AX21" s="42">
        <f t="shared" si="26"/>
        <v>1E-13</v>
      </c>
      <c r="AY21" s="52">
        <f t="shared" si="27"/>
        <v>48.977881936844597</v>
      </c>
      <c r="AZ21" s="41"/>
      <c r="BA21" s="59">
        <f t="shared" si="11"/>
        <v>58.868568951818695</v>
      </c>
      <c r="BB21" s="60">
        <f t="shared" si="12"/>
        <v>89.999431852695508</v>
      </c>
      <c r="BD21" s="31" t="s">
        <v>71</v>
      </c>
      <c r="BE21" s="32">
        <v>5000</v>
      </c>
      <c r="BG21" s="87" t="s">
        <v>102</v>
      </c>
      <c r="BH21" s="88">
        <f>SUMPRODUCT(Sample,xObs2,Illuminant_D50)/SUMPRODUCT(yObs2,Illuminant_D50)</f>
        <v>0.61341198034187649</v>
      </c>
      <c r="BI21" s="88">
        <f>SUMPRODUCT(Sample,yObs2,Illuminant_D50)/SUMPRODUCT(yObs2,Illuminant_D50)</f>
        <v>0.6468948183915525</v>
      </c>
      <c r="BJ21" s="89">
        <f>SUMPRODUCT(Sample,zObs2,Illuminant_D50)/SUMPRODUCT(yObs2,Illuminant_D50)</f>
        <v>0.53428259115623378</v>
      </c>
    </row>
    <row r="22" spans="2:69" ht="12" thickBot="1">
      <c r="B22" s="53">
        <v>430</v>
      </c>
      <c r="C22" s="54">
        <v>0.28389999999999999</v>
      </c>
      <c r="D22" s="54">
        <v>1.1599999999999999E-2</v>
      </c>
      <c r="E22" s="55">
        <v>1.3855999999999999</v>
      </c>
      <c r="F22" s="54">
        <v>0.31467899999999999</v>
      </c>
      <c r="G22" s="55">
        <v>3.8676000000000002E-2</v>
      </c>
      <c r="H22" s="54">
        <v>1.55348</v>
      </c>
      <c r="I22" s="41">
        <f t="shared" si="7"/>
        <v>24.682341968445268</v>
      </c>
      <c r="J22" s="56">
        <v>73.099999999999994</v>
      </c>
      <c r="K22" s="57">
        <v>112.4</v>
      </c>
      <c r="L22" s="56">
        <f t="shared" si="10"/>
        <v>57.763974623211141</v>
      </c>
      <c r="M22" s="57">
        <v>100</v>
      </c>
      <c r="N22" s="57">
        <v>5.0599999999999996</v>
      </c>
      <c r="O22" s="56">
        <v>9.15</v>
      </c>
      <c r="P22" s="57">
        <v>4.49</v>
      </c>
      <c r="Q22" s="42">
        <f t="shared" si="8"/>
        <v>78.868308890265354</v>
      </c>
      <c r="R22" s="57">
        <v>96.8</v>
      </c>
      <c r="S22" s="56">
        <v>37.1</v>
      </c>
      <c r="T22" s="57">
        <v>-1.2</v>
      </c>
      <c r="U22" s="80">
        <v>2.4470000000000001</v>
      </c>
      <c r="V22" s="48">
        <v>1.64</v>
      </c>
      <c r="W22" s="47">
        <v>5</v>
      </c>
      <c r="X22" s="48">
        <f t="shared" si="0"/>
        <v>-43.332000000000022</v>
      </c>
      <c r="Y22" s="47">
        <f t="shared" si="1"/>
        <v>-13.749999999999998</v>
      </c>
      <c r="Z22" s="48">
        <v>4.819</v>
      </c>
      <c r="AA22" s="47">
        <v>0</v>
      </c>
      <c r="AB22" s="48">
        <v>-10</v>
      </c>
      <c r="AC22" s="47">
        <v>4.9139999999999997</v>
      </c>
      <c r="AD22" s="48">
        <f t="shared" si="3"/>
        <v>-47.290999999999983</v>
      </c>
      <c r="AE22" s="47">
        <f t="shared" si="4"/>
        <v>-3.088000000000001</v>
      </c>
      <c r="AF22" s="48">
        <v>4.6319999999999997</v>
      </c>
      <c r="AG22" s="47">
        <v>-10</v>
      </c>
      <c r="AH22" s="48">
        <v>-10</v>
      </c>
      <c r="AI22" s="58">
        <v>4.7779999999999996</v>
      </c>
      <c r="AJ22" s="47"/>
      <c r="AK22" s="50">
        <f t="shared" si="9"/>
        <v>0.27989813196343638</v>
      </c>
      <c r="AL22" s="42">
        <f t="shared" si="14"/>
        <v>4.3651583224016612E-2</v>
      </c>
      <c r="AM22" s="41">
        <f t="shared" si="15"/>
        <v>100</v>
      </c>
      <c r="AN22" s="42">
        <f t="shared" si="16"/>
        <v>4.6558609352292941E-47</v>
      </c>
      <c r="AO22" s="41">
        <f t="shared" si="17"/>
        <v>1.7782794100389228E-17</v>
      </c>
      <c r="AP22" s="42">
        <f t="shared" si="18"/>
        <v>65.917389524432224</v>
      </c>
      <c r="AQ22" s="41">
        <f t="shared" si="19"/>
        <v>1E-3</v>
      </c>
      <c r="AR22" s="42">
        <f t="shared" si="20"/>
        <v>1E-13</v>
      </c>
      <c r="AS22" s="41">
        <f t="shared" si="21"/>
        <v>82.035154432981841</v>
      </c>
      <c r="AT22" s="42">
        <f t="shared" si="22"/>
        <v>5.1168183554032217E-51</v>
      </c>
      <c r="AU22" s="41">
        <f t="shared" si="23"/>
        <v>8.1658237135858996E-7</v>
      </c>
      <c r="AV22" s="42">
        <f t="shared" si="24"/>
        <v>42.854852039743939</v>
      </c>
      <c r="AW22" s="41">
        <f t="shared" si="25"/>
        <v>1E-13</v>
      </c>
      <c r="AX22" s="42">
        <f t="shared" si="26"/>
        <v>1E-13</v>
      </c>
      <c r="AY22" s="52">
        <f t="shared" si="27"/>
        <v>59.979107625550995</v>
      </c>
      <c r="AZ22" s="41"/>
      <c r="BA22" s="59">
        <f t="shared" si="11"/>
        <v>57.763974623211141</v>
      </c>
      <c r="BB22" s="60">
        <f t="shared" si="12"/>
        <v>86.629349505766825</v>
      </c>
      <c r="BD22" s="31" t="s">
        <v>16</v>
      </c>
      <c r="BE22" s="32">
        <f>1/BE21</f>
        <v>2.0000000000000001E-4</v>
      </c>
      <c r="BG22" s="90" t="s">
        <v>103</v>
      </c>
      <c r="BH22" s="91">
        <f>SUMPRODUCT(Sample,xObs2,Illuminant_D65)/SUMPRODUCT(yObs2,Illuminant_D65)</f>
        <v>0.60441908272602918</v>
      </c>
      <c r="BI22" s="91">
        <f>SUMPRODUCT(Sample,yObs2,Illuminant_D65)/SUMPRODUCT(yObs2,Illuminant_D65)</f>
        <v>0.64817806395276445</v>
      </c>
      <c r="BJ22" s="92">
        <f>SUMPRODUCT(Sample,zObs2,Illuminant_D65)/SUMPRODUCT(yObs2,Illuminant_D65)</f>
        <v>0.70109663241624376</v>
      </c>
    </row>
    <row r="23" spans="2:69">
      <c r="B23" s="53">
        <v>435</v>
      </c>
      <c r="C23" s="54">
        <v>0.32850000000000001</v>
      </c>
      <c r="D23" s="54">
        <v>1.6840000000000001E-2</v>
      </c>
      <c r="E23" s="55">
        <v>1.62296</v>
      </c>
      <c r="F23" s="54">
        <v>0.35771900000000001</v>
      </c>
      <c r="G23" s="55">
        <v>4.9602E-2</v>
      </c>
      <c r="H23" s="54">
        <v>1.7985</v>
      </c>
      <c r="I23" s="41">
        <f t="shared" si="7"/>
        <v>26.654254329898301</v>
      </c>
      <c r="J23" s="56">
        <v>77.31</v>
      </c>
      <c r="K23" s="57">
        <v>117.75</v>
      </c>
      <c r="L23" s="56">
        <f t="shared" si="10"/>
        <v>66.265314459922322</v>
      </c>
      <c r="M23" s="57">
        <v>100</v>
      </c>
      <c r="N23" s="57">
        <v>34.979999999999997</v>
      </c>
      <c r="O23" s="56">
        <v>44.14</v>
      </c>
      <c r="P23" s="57">
        <v>33.94</v>
      </c>
      <c r="Q23" s="42">
        <f t="shared" si="8"/>
        <v>80.398423562388402</v>
      </c>
      <c r="R23" s="57">
        <v>105.35</v>
      </c>
      <c r="S23" s="56">
        <v>36.9</v>
      </c>
      <c r="T23" s="57">
        <v>-1.9</v>
      </c>
      <c r="U23" s="80">
        <f t="shared" ref="U23:AI23" si="29">AVERAGE(U22,U24)</f>
        <v>2.629</v>
      </c>
      <c r="V23" s="48">
        <f t="shared" si="29"/>
        <v>1.3199999999999998</v>
      </c>
      <c r="W23" s="47">
        <f t="shared" si="29"/>
        <v>4.9950000000000001</v>
      </c>
      <c r="X23" s="48">
        <f t="shared" si="0"/>
        <v>-41.982000000000021</v>
      </c>
      <c r="Y23" s="47">
        <f t="shared" si="1"/>
        <v>-12.649999999999999</v>
      </c>
      <c r="Z23" s="48">
        <f t="shared" si="29"/>
        <v>4.9094999999999995</v>
      </c>
      <c r="AA23" s="47">
        <f t="shared" si="29"/>
        <v>0</v>
      </c>
      <c r="AB23" s="48">
        <v>-10</v>
      </c>
      <c r="AC23" s="47">
        <f t="shared" si="29"/>
        <v>4.9569999999999999</v>
      </c>
      <c r="AD23" s="48">
        <f t="shared" si="3"/>
        <v>-45.990999999999985</v>
      </c>
      <c r="AE23" s="47">
        <f t="shared" si="4"/>
        <v>-2.5580000000000007</v>
      </c>
      <c r="AF23" s="48">
        <f t="shared" si="29"/>
        <v>4.7515000000000001</v>
      </c>
      <c r="AG23" s="47">
        <v>-10</v>
      </c>
      <c r="AH23" s="48">
        <v>-10</v>
      </c>
      <c r="AI23" s="58">
        <f t="shared" si="29"/>
        <v>4.8460000000000001</v>
      </c>
      <c r="AJ23" s="47"/>
      <c r="AK23" s="50">
        <f t="shared" si="9"/>
        <v>0.42559841313374341</v>
      </c>
      <c r="AL23" s="42">
        <f t="shared" si="14"/>
        <v>2.0892961308540393E-2</v>
      </c>
      <c r="AM23" s="41">
        <f t="shared" si="15"/>
        <v>98.855309465694077</v>
      </c>
      <c r="AN23" s="42">
        <f t="shared" si="16"/>
        <v>1.0423174293932392E-45</v>
      </c>
      <c r="AO23" s="41">
        <f t="shared" si="17"/>
        <v>2.2387211385683399E-16</v>
      </c>
      <c r="AP23" s="42">
        <f t="shared" si="18"/>
        <v>81.189524893567537</v>
      </c>
      <c r="AQ23" s="41">
        <f t="shared" si="19"/>
        <v>1E-3</v>
      </c>
      <c r="AR23" s="42">
        <f t="shared" si="20"/>
        <v>1E-13</v>
      </c>
      <c r="AS23" s="41">
        <f t="shared" si="21"/>
        <v>90.573260089820039</v>
      </c>
      <c r="AT23" s="42">
        <f t="shared" si="22"/>
        <v>1.0209394837077107E-49</v>
      </c>
      <c r="AU23" s="41">
        <f t="shared" si="23"/>
        <v>2.7669416454115042E-6</v>
      </c>
      <c r="AV23" s="42">
        <f t="shared" si="24"/>
        <v>56.428694134510472</v>
      </c>
      <c r="AW23" s="41">
        <f t="shared" si="25"/>
        <v>1E-13</v>
      </c>
      <c r="AX23" s="42">
        <f t="shared" si="26"/>
        <v>1E-13</v>
      </c>
      <c r="AY23" s="52">
        <f t="shared" si="27"/>
        <v>70.14552984199716</v>
      </c>
      <c r="AZ23" s="41"/>
      <c r="BA23" s="59">
        <f t="shared" si="11"/>
        <v>66.265314459922322</v>
      </c>
      <c r="BB23" s="60">
        <f t="shared" si="12"/>
        <v>95.720571971917011</v>
      </c>
      <c r="BD23" s="31" t="s">
        <v>17</v>
      </c>
      <c r="BE23" s="32">
        <f>IF(BE21&lt;=7000,((-4607000000*BE22+2967800)*BE22+99.11)*BE22+0.244063,((-2006400000*BE22+1901800)*BE22+247.48)*BE22+0.23704)</f>
        <v>0.34574100000000002</v>
      </c>
    </row>
    <row r="24" spans="2:69">
      <c r="B24" s="53">
        <v>440</v>
      </c>
      <c r="C24" s="54">
        <v>0.34827999999999998</v>
      </c>
      <c r="D24" s="54">
        <v>2.3E-2</v>
      </c>
      <c r="E24" s="55">
        <v>1.7470600000000001</v>
      </c>
      <c r="F24" s="54">
        <v>0.38373400000000002</v>
      </c>
      <c r="G24" s="55">
        <v>6.2077E-2</v>
      </c>
      <c r="H24" s="54">
        <v>1.9672799999999999</v>
      </c>
      <c r="I24" s="41">
        <f t="shared" si="7"/>
        <v>28.714714597903228</v>
      </c>
      <c r="J24" s="56">
        <v>80.8</v>
      </c>
      <c r="K24" s="57">
        <v>121.5</v>
      </c>
      <c r="L24" s="56">
        <f t="shared" si="10"/>
        <v>74.766654296633504</v>
      </c>
      <c r="M24" s="57">
        <v>100</v>
      </c>
      <c r="N24" s="57">
        <v>11.81</v>
      </c>
      <c r="O24" s="56">
        <v>17.52</v>
      </c>
      <c r="P24" s="57">
        <v>12.13</v>
      </c>
      <c r="Q24" s="42">
        <f t="shared" si="8"/>
        <v>81.86958284538234</v>
      </c>
      <c r="R24" s="57">
        <v>113.9</v>
      </c>
      <c r="S24" s="56">
        <v>36.700000000000003</v>
      </c>
      <c r="T24" s="57">
        <v>-2.6</v>
      </c>
      <c r="U24" s="80">
        <v>2.8109999999999999</v>
      </c>
      <c r="V24" s="48">
        <v>1</v>
      </c>
      <c r="W24" s="47">
        <v>4.99</v>
      </c>
      <c r="X24" s="48">
        <f t="shared" si="0"/>
        <v>-40.632000000000019</v>
      </c>
      <c r="Y24" s="47">
        <f t="shared" si="1"/>
        <v>-11.549999999999999</v>
      </c>
      <c r="Z24" s="48">
        <v>5</v>
      </c>
      <c r="AA24" s="47">
        <v>0</v>
      </c>
      <c r="AB24" s="48">
        <v>-10</v>
      </c>
      <c r="AC24" s="47">
        <v>5</v>
      </c>
      <c r="AD24" s="48">
        <f t="shared" si="3"/>
        <v>-44.690999999999988</v>
      </c>
      <c r="AE24" s="47">
        <f t="shared" si="4"/>
        <v>-2.0280000000000005</v>
      </c>
      <c r="AF24" s="48">
        <v>4.8710000000000004</v>
      </c>
      <c r="AG24" s="47">
        <v>-10</v>
      </c>
      <c r="AH24" s="48">
        <v>-10</v>
      </c>
      <c r="AI24" s="58">
        <v>4.9139999999999997</v>
      </c>
      <c r="AJ24" s="47"/>
      <c r="AK24" s="50">
        <f t="shared" si="9"/>
        <v>0.64714261574858345</v>
      </c>
      <c r="AL24" s="42">
        <f t="shared" si="14"/>
        <v>0.01</v>
      </c>
      <c r="AM24" s="41">
        <f t="shared" si="15"/>
        <v>97.723722095581266</v>
      </c>
      <c r="AN24" s="42">
        <f t="shared" si="16"/>
        <v>2.3334580622808939E-44</v>
      </c>
      <c r="AO24" s="41">
        <f t="shared" si="17"/>
        <v>2.8183829312644546E-15</v>
      </c>
      <c r="AP24" s="42">
        <f t="shared" si="18"/>
        <v>100</v>
      </c>
      <c r="AQ24" s="41">
        <f t="shared" si="19"/>
        <v>1E-3</v>
      </c>
      <c r="AR24" s="42">
        <f t="shared" si="20"/>
        <v>1E-13</v>
      </c>
      <c r="AS24" s="41">
        <f t="shared" si="21"/>
        <v>100</v>
      </c>
      <c r="AT24" s="42">
        <f t="shared" si="22"/>
        <v>2.037042077705754E-48</v>
      </c>
      <c r="AU24" s="41">
        <f t="shared" si="23"/>
        <v>9.3756200692587892E-6</v>
      </c>
      <c r="AV24" s="42">
        <f t="shared" si="24"/>
        <v>74.301913789670309</v>
      </c>
      <c r="AW24" s="41">
        <f t="shared" si="25"/>
        <v>1E-13</v>
      </c>
      <c r="AX24" s="42">
        <f t="shared" si="26"/>
        <v>1E-13</v>
      </c>
      <c r="AY24" s="52">
        <f t="shared" si="27"/>
        <v>82.035154432981841</v>
      </c>
      <c r="AZ24" s="41"/>
      <c r="BA24" s="59">
        <f t="shared" si="11"/>
        <v>74.766654296633504</v>
      </c>
      <c r="BB24" s="60">
        <f t="shared" si="12"/>
        <v>104.81179443806724</v>
      </c>
      <c r="BD24" s="31" t="s">
        <v>18</v>
      </c>
      <c r="BE24" s="32">
        <f>(-3*BE23+2.87)*BE23-0.275</f>
        <v>0.35866615275700009</v>
      </c>
    </row>
    <row r="25" spans="2:69">
      <c r="B25" s="53">
        <v>445</v>
      </c>
      <c r="C25" s="54">
        <v>0.34805999999999998</v>
      </c>
      <c r="D25" s="54">
        <v>2.98E-2</v>
      </c>
      <c r="E25" s="55">
        <v>1.7826</v>
      </c>
      <c r="F25" s="54">
        <v>0.38672600000000001</v>
      </c>
      <c r="G25" s="55">
        <v>7.4704000000000007E-2</v>
      </c>
      <c r="H25" s="54">
        <v>2.0272999999999999</v>
      </c>
      <c r="I25" s="41">
        <f t="shared" si="7"/>
        <v>30.863032063366678</v>
      </c>
      <c r="J25" s="56">
        <v>83.44</v>
      </c>
      <c r="K25" s="57">
        <v>123.45</v>
      </c>
      <c r="L25" s="56">
        <f t="shared" si="10"/>
        <v>80.977770498736362</v>
      </c>
      <c r="M25" s="57">
        <v>100</v>
      </c>
      <c r="N25" s="57">
        <v>6.27</v>
      </c>
      <c r="O25" s="56">
        <v>11.35</v>
      </c>
      <c r="P25" s="57">
        <v>6.95</v>
      </c>
      <c r="Q25" s="42">
        <f t="shared" si="8"/>
        <v>83.281171980603432</v>
      </c>
      <c r="R25" s="57">
        <v>119.75</v>
      </c>
      <c r="S25" s="56">
        <v>36.299999999999997</v>
      </c>
      <c r="T25" s="57">
        <v>-2.75</v>
      </c>
      <c r="U25" s="80">
        <f>AVERAGE(U24,U26)</f>
        <v>2.9504999999999999</v>
      </c>
      <c r="V25" s="48">
        <v>-10</v>
      </c>
      <c r="W25" s="47">
        <f t="shared" ref="W25:AI25" si="30">AVERAGE(W24,W26)</f>
        <v>4.9704999999999995</v>
      </c>
      <c r="X25" s="48">
        <f t="shared" si="0"/>
        <v>-39.282000000000018</v>
      </c>
      <c r="Y25" s="47">
        <f t="shared" si="1"/>
        <v>-10.45</v>
      </c>
      <c r="Z25" s="48">
        <f t="shared" si="30"/>
        <v>4.9559999999999995</v>
      </c>
      <c r="AA25" s="47">
        <f t="shared" si="30"/>
        <v>0</v>
      </c>
      <c r="AB25" s="48">
        <v>-10</v>
      </c>
      <c r="AC25" s="47">
        <f t="shared" si="30"/>
        <v>4.9794999999999998</v>
      </c>
      <c r="AD25" s="48">
        <f t="shared" si="3"/>
        <v>-43.390999999999991</v>
      </c>
      <c r="AE25" s="47">
        <f t="shared" si="4"/>
        <v>-1.4980000000000002</v>
      </c>
      <c r="AF25" s="48">
        <f t="shared" si="30"/>
        <v>4.9355000000000002</v>
      </c>
      <c r="AG25" s="47">
        <v>-10</v>
      </c>
      <c r="AH25" s="48">
        <v>-10</v>
      </c>
      <c r="AI25" s="58">
        <f t="shared" si="30"/>
        <v>4.9435000000000002</v>
      </c>
      <c r="AJ25" s="47"/>
      <c r="AK25" s="50">
        <f t="shared" si="9"/>
        <v>0.89227761958782736</v>
      </c>
      <c r="AL25" s="42">
        <f t="shared" si="14"/>
        <v>1E-13</v>
      </c>
      <c r="AM25" s="41">
        <f t="shared" si="15"/>
        <v>93.432936825731318</v>
      </c>
      <c r="AN25" s="42">
        <f t="shared" si="16"/>
        <v>5.2239618899909608E-43</v>
      </c>
      <c r="AO25" s="41">
        <f t="shared" si="17"/>
        <v>3.5481338923357559E-14</v>
      </c>
      <c r="AP25" s="42">
        <f t="shared" si="18"/>
        <v>90.364947372230105</v>
      </c>
      <c r="AQ25" s="41">
        <f t="shared" si="19"/>
        <v>1E-3</v>
      </c>
      <c r="AR25" s="42">
        <f t="shared" si="20"/>
        <v>1E-13</v>
      </c>
      <c r="AS25" s="41">
        <f t="shared" si="21"/>
        <v>95.389374284154499</v>
      </c>
      <c r="AT25" s="42">
        <f t="shared" si="22"/>
        <v>4.0644332916521494E-47</v>
      </c>
      <c r="AU25" s="41">
        <f t="shared" si="23"/>
        <v>3.1768740706497681E-5</v>
      </c>
      <c r="AV25" s="42">
        <f t="shared" si="24"/>
        <v>86.198557870575954</v>
      </c>
      <c r="AW25" s="41">
        <f t="shared" si="25"/>
        <v>1E-13</v>
      </c>
      <c r="AX25" s="42">
        <f t="shared" si="26"/>
        <v>1E-13</v>
      </c>
      <c r="AY25" s="52">
        <f t="shared" si="27"/>
        <v>87.801108709653107</v>
      </c>
      <c r="AZ25" s="41"/>
      <c r="BA25" s="59">
        <f t="shared" si="11"/>
        <v>80.977770498736362</v>
      </c>
      <c r="BB25" s="60">
        <f t="shared" si="12"/>
        <v>110.88363161591676</v>
      </c>
      <c r="BD25" s="31" t="s">
        <v>19</v>
      </c>
      <c r="BE25" s="32">
        <f>0.0241+0.2562*BE23-0.734*BE24</f>
        <v>-0.15058211192363805</v>
      </c>
    </row>
    <row r="26" spans="2:69">
      <c r="B26" s="53">
        <v>450</v>
      </c>
      <c r="C26" s="54">
        <v>0.3362</v>
      </c>
      <c r="D26" s="54">
        <v>3.7999999999999999E-2</v>
      </c>
      <c r="E26" s="55">
        <v>1.7721100000000001</v>
      </c>
      <c r="F26" s="54">
        <v>0.37070199999999998</v>
      </c>
      <c r="G26" s="55">
        <v>8.9455999999999994E-2</v>
      </c>
      <c r="H26" s="54">
        <v>1.9947999999999999</v>
      </c>
      <c r="I26" s="41">
        <f t="shared" si="7"/>
        <v>33.098273955464286</v>
      </c>
      <c r="J26" s="56">
        <v>85.4</v>
      </c>
      <c r="K26" s="57">
        <v>124</v>
      </c>
      <c r="L26" s="56">
        <f t="shared" si="10"/>
        <v>87.188886700839234</v>
      </c>
      <c r="M26" s="57">
        <v>100</v>
      </c>
      <c r="N26" s="57">
        <v>6.63</v>
      </c>
      <c r="O26" s="56">
        <v>12</v>
      </c>
      <c r="P26" s="57">
        <v>7.19</v>
      </c>
      <c r="Q26" s="42">
        <f t="shared" si="8"/>
        <v>84.632765153136788</v>
      </c>
      <c r="R26" s="57">
        <v>125.6</v>
      </c>
      <c r="S26" s="56">
        <v>35.9</v>
      </c>
      <c r="T26" s="57">
        <v>-2.9</v>
      </c>
      <c r="U26" s="80">
        <v>3.09</v>
      </c>
      <c r="V26" s="48">
        <v>-10</v>
      </c>
      <c r="W26" s="47">
        <v>4.9509999999999996</v>
      </c>
      <c r="X26" s="48">
        <f t="shared" si="0"/>
        <v>-37.932000000000016</v>
      </c>
      <c r="Y26" s="47">
        <f t="shared" si="1"/>
        <v>-9.35</v>
      </c>
      <c r="Z26" s="48">
        <v>4.9119999999999999</v>
      </c>
      <c r="AA26" s="47">
        <v>0</v>
      </c>
      <c r="AB26" s="48">
        <v>-10</v>
      </c>
      <c r="AC26" s="47">
        <v>4.9589999999999996</v>
      </c>
      <c r="AD26" s="48">
        <f t="shared" si="3"/>
        <v>-42.090999999999994</v>
      </c>
      <c r="AE26" s="47">
        <f t="shared" si="4"/>
        <v>-0.96800000000000019</v>
      </c>
      <c r="AF26" s="48">
        <v>5</v>
      </c>
      <c r="AG26" s="47">
        <v>-10</v>
      </c>
      <c r="AH26" s="48">
        <v>-10</v>
      </c>
      <c r="AI26" s="58">
        <v>4.9729999999999999</v>
      </c>
      <c r="AJ26" s="47"/>
      <c r="AK26" s="50">
        <f t="shared" si="9"/>
        <v>1.2302687708123825</v>
      </c>
      <c r="AL26" s="42">
        <f t="shared" si="14"/>
        <v>1E-13</v>
      </c>
      <c r="AM26" s="41">
        <f t="shared" si="15"/>
        <v>89.330548373329478</v>
      </c>
      <c r="AN26" s="42">
        <f t="shared" si="16"/>
        <v>1.1694993910198194E-41</v>
      </c>
      <c r="AO26" s="41">
        <f t="shared" si="17"/>
        <v>4.4668359215096337E-13</v>
      </c>
      <c r="AP26" s="42">
        <f t="shared" si="18"/>
        <v>81.658237135859295</v>
      </c>
      <c r="AQ26" s="41">
        <f t="shared" si="19"/>
        <v>1E-3</v>
      </c>
      <c r="AR26" s="42">
        <f t="shared" si="20"/>
        <v>1E-13</v>
      </c>
      <c r="AS26" s="41">
        <f t="shared" si="21"/>
        <v>90.991327263225145</v>
      </c>
      <c r="AT26" s="42">
        <f t="shared" si="22"/>
        <v>8.1096105785384652E-46</v>
      </c>
      <c r="AU26" s="41">
        <f t="shared" si="23"/>
        <v>1.076465213629834E-4</v>
      </c>
      <c r="AV26" s="42">
        <f t="shared" si="24"/>
        <v>100</v>
      </c>
      <c r="AW26" s="41">
        <f t="shared" si="25"/>
        <v>1E-13</v>
      </c>
      <c r="AX26" s="42">
        <f t="shared" si="26"/>
        <v>1E-13</v>
      </c>
      <c r="AY26" s="52">
        <f t="shared" si="27"/>
        <v>93.972331056463858</v>
      </c>
      <c r="AZ26" s="41"/>
      <c r="BA26" s="59">
        <f t="shared" si="11"/>
        <v>87.188886700839234</v>
      </c>
      <c r="BB26" s="60">
        <f t="shared" si="12"/>
        <v>116.95546879376629</v>
      </c>
      <c r="BD26" s="31" t="s">
        <v>20</v>
      </c>
      <c r="BE26" s="32">
        <f>(-1.3515-1.7703*BE23+5.9114*BE24)/BE25</f>
        <v>-1.0403214638613361</v>
      </c>
    </row>
    <row r="27" spans="2:69" ht="12" thickBot="1">
      <c r="B27" s="53">
        <v>455</v>
      </c>
      <c r="C27" s="54">
        <v>0.31869999999999998</v>
      </c>
      <c r="D27" s="54">
        <v>4.8000000000000001E-2</v>
      </c>
      <c r="E27" s="55">
        <v>1.7441</v>
      </c>
      <c r="F27" s="54">
        <v>0.34295700000000001</v>
      </c>
      <c r="G27" s="55">
        <v>0.106256</v>
      </c>
      <c r="H27" s="54">
        <v>1.9007000000000001</v>
      </c>
      <c r="I27" s="41">
        <f t="shared" si="7"/>
        <v>35.419273604766616</v>
      </c>
      <c r="J27" s="56">
        <v>86.88</v>
      </c>
      <c r="K27" s="57">
        <v>123.6</v>
      </c>
      <c r="L27" s="56">
        <f t="shared" si="10"/>
        <v>88.873754577357673</v>
      </c>
      <c r="M27" s="57">
        <v>100</v>
      </c>
      <c r="N27" s="57">
        <v>6.93</v>
      </c>
      <c r="O27" s="56">
        <v>12.58</v>
      </c>
      <c r="P27" s="57">
        <v>7.12</v>
      </c>
      <c r="Q27" s="42">
        <f t="shared" si="8"/>
        <v>85.924113699791619</v>
      </c>
      <c r="R27" s="57">
        <v>125.55</v>
      </c>
      <c r="S27" s="56">
        <v>34.25</v>
      </c>
      <c r="T27" s="57">
        <v>-2.85</v>
      </c>
      <c r="U27" s="80">
        <f>AVERAGE(U26,U28)</f>
        <v>3.218</v>
      </c>
      <c r="V27" s="48">
        <v>-10</v>
      </c>
      <c r="W27" s="47">
        <f t="shared" ref="W27:AI27" si="31">AVERAGE(W26,W28)</f>
        <v>4.9074999999999998</v>
      </c>
      <c r="X27" s="48">
        <f t="shared" si="0"/>
        <v>-36.582000000000015</v>
      </c>
      <c r="Y27" s="47">
        <f t="shared" si="1"/>
        <v>-8.25</v>
      </c>
      <c r="Z27" s="48">
        <f t="shared" si="31"/>
        <v>4.766</v>
      </c>
      <c r="AA27" s="47">
        <f t="shared" si="31"/>
        <v>0</v>
      </c>
      <c r="AB27" s="48">
        <v>-10</v>
      </c>
      <c r="AC27" s="47">
        <f t="shared" si="31"/>
        <v>4.92</v>
      </c>
      <c r="AD27" s="48">
        <f t="shared" si="3"/>
        <v>-40.790999999999997</v>
      </c>
      <c r="AE27" s="47">
        <f t="shared" si="4"/>
        <v>-0.43800000000000017</v>
      </c>
      <c r="AF27" s="48">
        <f t="shared" si="31"/>
        <v>4.9775</v>
      </c>
      <c r="AG27" s="47">
        <v>-10</v>
      </c>
      <c r="AH27" s="48">
        <v>-10</v>
      </c>
      <c r="AI27" s="58">
        <f t="shared" si="31"/>
        <v>4.9864999999999995</v>
      </c>
      <c r="AJ27" s="47"/>
      <c r="AK27" s="50">
        <f t="shared" si="9"/>
        <v>1.651961798229016</v>
      </c>
      <c r="AL27" s="42">
        <f t="shared" si="14"/>
        <v>1E-13</v>
      </c>
      <c r="AM27" s="41">
        <f t="shared" si="15"/>
        <v>80.816492911253803</v>
      </c>
      <c r="AN27" s="42">
        <f t="shared" si="16"/>
        <v>2.6181830082188735E-40</v>
      </c>
      <c r="AO27" s="41">
        <f t="shared" si="17"/>
        <v>5.6234132519034743E-12</v>
      </c>
      <c r="AP27" s="42">
        <f t="shared" si="18"/>
        <v>58.344510427374551</v>
      </c>
      <c r="AQ27" s="41">
        <f t="shared" si="19"/>
        <v>1E-3</v>
      </c>
      <c r="AR27" s="42">
        <f t="shared" si="20"/>
        <v>1E-13</v>
      </c>
      <c r="AS27" s="41">
        <f t="shared" si="21"/>
        <v>83.176377110267168</v>
      </c>
      <c r="AT27" s="42">
        <f t="shared" si="22"/>
        <v>1.6180800376430571E-44</v>
      </c>
      <c r="AU27" s="41">
        <f t="shared" si="23"/>
        <v>3.6475394692560769E-4</v>
      </c>
      <c r="AV27" s="42">
        <f t="shared" si="24"/>
        <v>94.95109992021986</v>
      </c>
      <c r="AW27" s="41">
        <f t="shared" si="25"/>
        <v>1E-13</v>
      </c>
      <c r="AX27" s="42">
        <f t="shared" si="26"/>
        <v>1E-13</v>
      </c>
      <c r="AY27" s="52">
        <f t="shared" si="27"/>
        <v>96.939326930025516</v>
      </c>
      <c r="AZ27" s="41"/>
      <c r="BA27" s="59">
        <f t="shared" si="11"/>
        <v>88.873754577357673</v>
      </c>
      <c r="BB27" s="60">
        <f t="shared" si="12"/>
        <v>117.36012200376439</v>
      </c>
      <c r="BD27" s="61" t="s">
        <v>21</v>
      </c>
      <c r="BE27" s="62">
        <f>(0.03-31.4424*BE23+30.0717*BE24)/BE25</f>
        <v>0.36674922294441031</v>
      </c>
    </row>
    <row r="28" spans="2:69" ht="12" thickBot="1">
      <c r="B28" s="53">
        <v>460</v>
      </c>
      <c r="C28" s="54">
        <v>0.2908</v>
      </c>
      <c r="D28" s="54">
        <v>0.06</v>
      </c>
      <c r="E28" s="55">
        <v>1.6692</v>
      </c>
      <c r="F28" s="54">
        <v>0.30227300000000001</v>
      </c>
      <c r="G28" s="55">
        <v>0.12820100000000001</v>
      </c>
      <c r="H28" s="54">
        <v>1.7453700000000001</v>
      </c>
      <c r="I28" s="41">
        <f t="shared" si="7"/>
        <v>37.824639579068823</v>
      </c>
      <c r="J28" s="56">
        <v>88.3</v>
      </c>
      <c r="K28" s="57">
        <v>123.1</v>
      </c>
      <c r="L28" s="56">
        <f t="shared" si="10"/>
        <v>90.558622453876097</v>
      </c>
      <c r="M28" s="57">
        <v>100</v>
      </c>
      <c r="N28" s="57">
        <v>7.19</v>
      </c>
      <c r="O28" s="56">
        <v>13.08</v>
      </c>
      <c r="P28" s="57">
        <v>6.72</v>
      </c>
      <c r="Q28" s="42">
        <f t="shared" si="8"/>
        <v>87.155134431787985</v>
      </c>
      <c r="R28" s="57">
        <v>125.5</v>
      </c>
      <c r="S28" s="56">
        <v>32.6</v>
      </c>
      <c r="T28" s="57">
        <v>-2.8</v>
      </c>
      <c r="U28" s="80">
        <v>3.3460000000000001</v>
      </c>
      <c r="V28" s="48">
        <v>-10</v>
      </c>
      <c r="W28" s="47">
        <v>4.8639999999999999</v>
      </c>
      <c r="X28" s="48">
        <f t="shared" si="0"/>
        <v>-35.232000000000014</v>
      </c>
      <c r="Y28" s="47">
        <f t="shared" si="1"/>
        <v>-7.15</v>
      </c>
      <c r="Z28" s="48">
        <v>4.62</v>
      </c>
      <c r="AA28" s="47">
        <v>0</v>
      </c>
      <c r="AB28" s="48">
        <v>-10</v>
      </c>
      <c r="AC28" s="47">
        <v>4.8810000000000002</v>
      </c>
      <c r="AD28" s="48">
        <f t="shared" si="3"/>
        <v>-39.491</v>
      </c>
      <c r="AE28" s="47">
        <f>AE29-0.53</f>
        <v>9.199999999999986E-2</v>
      </c>
      <c r="AF28" s="48">
        <v>4.9550000000000001</v>
      </c>
      <c r="AG28" s="47">
        <v>-10</v>
      </c>
      <c r="AH28" s="48">
        <v>-10</v>
      </c>
      <c r="AI28" s="58">
        <v>5</v>
      </c>
      <c r="AJ28" s="47"/>
      <c r="AK28" s="50">
        <f t="shared" si="9"/>
        <v>2.2181964198002206</v>
      </c>
      <c r="AL28" s="42">
        <f t="shared" si="14"/>
        <v>1E-13</v>
      </c>
      <c r="AM28" s="41">
        <f t="shared" si="15"/>
        <v>73.113908348341809</v>
      </c>
      <c r="AN28" s="42">
        <f t="shared" si="16"/>
        <v>5.8613816451400439E-39</v>
      </c>
      <c r="AO28" s="41">
        <f t="shared" si="17"/>
        <v>7.0794578438413597E-11</v>
      </c>
      <c r="AP28" s="42">
        <f t="shared" si="18"/>
        <v>41.686938347033625</v>
      </c>
      <c r="AQ28" s="41">
        <f t="shared" si="19"/>
        <v>1E-3</v>
      </c>
      <c r="AR28" s="42">
        <f t="shared" si="20"/>
        <v>1E-13</v>
      </c>
      <c r="AS28" s="41">
        <f t="shared" si="21"/>
        <v>76.032627694018345</v>
      </c>
      <c r="AT28" s="42">
        <f t="shared" si="22"/>
        <v>3.2284941217126236E-43</v>
      </c>
      <c r="AU28" s="41">
        <f t="shared" si="23"/>
        <v>1.2359474334445101E-3</v>
      </c>
      <c r="AV28" s="42">
        <f t="shared" si="24"/>
        <v>90.157113760595749</v>
      </c>
      <c r="AW28" s="41">
        <f t="shared" si="25"/>
        <v>1E-13</v>
      </c>
      <c r="AX28" s="42">
        <f t="shared" si="26"/>
        <v>1E-13</v>
      </c>
      <c r="AY28" s="52">
        <f t="shared" si="27"/>
        <v>100</v>
      </c>
      <c r="AZ28" s="41"/>
      <c r="BA28" s="59">
        <f t="shared" si="11"/>
        <v>90.558622453876097</v>
      </c>
      <c r="BB28" s="60">
        <f t="shared" si="12"/>
        <v>117.7647752137625</v>
      </c>
    </row>
    <row r="29" spans="2:69" ht="12.6" thickBot="1">
      <c r="B29" s="53">
        <v>465</v>
      </c>
      <c r="C29" s="54">
        <v>0.25109999999999999</v>
      </c>
      <c r="D29" s="54">
        <v>7.3899999999999993E-2</v>
      </c>
      <c r="E29" s="55">
        <v>1.5281</v>
      </c>
      <c r="F29" s="54">
        <v>0.25408500000000001</v>
      </c>
      <c r="G29" s="55">
        <v>0.15276100000000001</v>
      </c>
      <c r="H29" s="54">
        <v>1.5548999999999999</v>
      </c>
      <c r="I29" s="41">
        <f t="shared" si="7"/>
        <v>40.312765665378905</v>
      </c>
      <c r="J29" s="56">
        <v>90.08</v>
      </c>
      <c r="K29" s="57">
        <v>123.3</v>
      </c>
      <c r="L29" s="56">
        <f t="shared" si="10"/>
        <v>90.940052816244688</v>
      </c>
      <c r="M29" s="57">
        <v>100</v>
      </c>
      <c r="N29" s="57">
        <v>7.4</v>
      </c>
      <c r="O29" s="56">
        <v>13.45</v>
      </c>
      <c r="P29" s="57">
        <v>6.13</v>
      </c>
      <c r="Q29" s="42">
        <f t="shared" si="8"/>
        <v>88.325898142489322</v>
      </c>
      <c r="R29" s="57">
        <v>123.4</v>
      </c>
      <c r="S29" s="56">
        <v>30.25</v>
      </c>
      <c r="T29" s="57">
        <v>-2.7</v>
      </c>
      <c r="U29" s="80">
        <f>AVERAGE(U28,U30)</f>
        <v>3.464</v>
      </c>
      <c r="V29" s="48">
        <v>-10</v>
      </c>
      <c r="W29" s="47">
        <f>AVERAGE(W28,W30)</f>
        <v>4.8034999999999997</v>
      </c>
      <c r="X29" s="48">
        <f t="shared" si="0"/>
        <v>-33.882000000000012</v>
      </c>
      <c r="Y29" s="47">
        <f t="shared" si="1"/>
        <v>-6.0500000000000007</v>
      </c>
      <c r="Z29" s="48">
        <f>AVERAGE(Z28,Z30)</f>
        <v>4.33</v>
      </c>
      <c r="AA29" s="47">
        <f>AVERAGE(AA28,AA30)</f>
        <v>0</v>
      </c>
      <c r="AB29" s="48">
        <v>-10</v>
      </c>
      <c r="AC29" s="47">
        <f>AVERAGE(AC28,AC30)</f>
        <v>4.7765000000000004</v>
      </c>
      <c r="AD29" s="48">
        <f t="shared" si="3"/>
        <v>-38.191000000000003</v>
      </c>
      <c r="AE29" s="47">
        <f>AE30-0.53</f>
        <v>0.62199999999999989</v>
      </c>
      <c r="AF29" s="48">
        <f>AVERAGE(AF28,AF30)</f>
        <v>4.8490000000000002</v>
      </c>
      <c r="AG29" s="47">
        <v>-10</v>
      </c>
      <c r="AH29" s="48">
        <v>-10</v>
      </c>
      <c r="AI29" s="58">
        <f>AVERAGE(AI28,AI30)</f>
        <v>4.9935</v>
      </c>
      <c r="AJ29" s="47"/>
      <c r="AK29" s="50">
        <f t="shared" si="9"/>
        <v>2.9107171180666076</v>
      </c>
      <c r="AL29" s="42">
        <f t="shared" si="14"/>
        <v>1E-13</v>
      </c>
      <c r="AM29" s="41">
        <f t="shared" si="15"/>
        <v>63.606280483726088</v>
      </c>
      <c r="AN29" s="42">
        <f t="shared" si="16"/>
        <v>1.3121998990191507E-37</v>
      </c>
      <c r="AO29" s="41">
        <f t="shared" si="17"/>
        <v>8.9125093813374317E-10</v>
      </c>
      <c r="AP29" s="42">
        <f t="shared" si="18"/>
        <v>21.379620895022349</v>
      </c>
      <c r="AQ29" s="41">
        <f t="shared" si="19"/>
        <v>1E-3</v>
      </c>
      <c r="AR29" s="42">
        <f t="shared" si="20"/>
        <v>1E-13</v>
      </c>
      <c r="AS29" s="41">
        <f t="shared" si="21"/>
        <v>59.772304468870033</v>
      </c>
      <c r="AT29" s="42">
        <f t="shared" si="22"/>
        <v>6.4416926551516689E-42</v>
      </c>
      <c r="AU29" s="41">
        <f t="shared" si="23"/>
        <v>4.1879356511791829E-3</v>
      </c>
      <c r="AV29" s="42">
        <f t="shared" si="24"/>
        <v>70.631755426296266</v>
      </c>
      <c r="AW29" s="41">
        <f t="shared" si="25"/>
        <v>1E-13</v>
      </c>
      <c r="AX29" s="42">
        <f t="shared" si="26"/>
        <v>1E-13</v>
      </c>
      <c r="AY29" s="52">
        <f t="shared" si="27"/>
        <v>98.514464280403601</v>
      </c>
      <c r="AZ29" s="41"/>
      <c r="BA29" s="59">
        <f t="shared" si="11"/>
        <v>90.940052816244688</v>
      </c>
      <c r="BB29" s="60">
        <f t="shared" si="12"/>
        <v>116.29249154638458</v>
      </c>
      <c r="BD29" s="319" t="s">
        <v>105</v>
      </c>
      <c r="BE29" s="320"/>
    </row>
    <row r="30" spans="2:69">
      <c r="B30" s="53">
        <v>470</v>
      </c>
      <c r="C30" s="54">
        <v>0.19536000000000001</v>
      </c>
      <c r="D30" s="54">
        <v>9.0980000000000005E-2</v>
      </c>
      <c r="E30" s="55">
        <v>1.2876399999999999</v>
      </c>
      <c r="F30" s="54">
        <v>0.19561799999999999</v>
      </c>
      <c r="G30" s="55">
        <v>0.18518999999999999</v>
      </c>
      <c r="H30" s="54">
        <v>1.3175600000000001</v>
      </c>
      <c r="I30" s="41">
        <f t="shared" si="7"/>
        <v>42.881841574299067</v>
      </c>
      <c r="J30" s="56">
        <v>92</v>
      </c>
      <c r="K30" s="57">
        <v>123.8</v>
      </c>
      <c r="L30" s="56">
        <f t="shared" si="10"/>
        <v>91.321483178613249</v>
      </c>
      <c r="M30" s="57">
        <v>100</v>
      </c>
      <c r="N30" s="57">
        <v>7.54</v>
      </c>
      <c r="O30" s="56">
        <v>13.71</v>
      </c>
      <c r="P30" s="57">
        <v>5.46</v>
      </c>
      <c r="Q30" s="42">
        <f t="shared" si="8"/>
        <v>89.436618359692986</v>
      </c>
      <c r="R30" s="57">
        <v>121.3</v>
      </c>
      <c r="S30" s="56">
        <v>27.9</v>
      </c>
      <c r="T30" s="57">
        <v>-2.6</v>
      </c>
      <c r="U30" s="80">
        <v>3.5819999999999999</v>
      </c>
      <c r="V30" s="48">
        <v>-10</v>
      </c>
      <c r="W30" s="47">
        <v>4.7430000000000003</v>
      </c>
      <c r="X30" s="48">
        <f t="shared" si="0"/>
        <v>-32.532000000000011</v>
      </c>
      <c r="Y30" s="47">
        <f t="shared" si="1"/>
        <v>-4.9500000000000011</v>
      </c>
      <c r="Z30" s="48">
        <v>4.04</v>
      </c>
      <c r="AA30" s="47">
        <v>0</v>
      </c>
      <c r="AB30" s="48">
        <v>1</v>
      </c>
      <c r="AC30" s="47">
        <v>4.6719999999999997</v>
      </c>
      <c r="AD30" s="48">
        <f t="shared" si="3"/>
        <v>-36.891000000000005</v>
      </c>
      <c r="AE30" s="47">
        <v>1.1519999999999999</v>
      </c>
      <c r="AF30" s="48">
        <v>4.7430000000000003</v>
      </c>
      <c r="AG30" s="47">
        <v>-10</v>
      </c>
      <c r="AH30" s="48">
        <v>0</v>
      </c>
      <c r="AI30" s="58">
        <v>4.9870000000000001</v>
      </c>
      <c r="AJ30" s="47"/>
      <c r="AK30" s="50">
        <f t="shared" si="9"/>
        <v>3.8194427084004694</v>
      </c>
      <c r="AL30" s="42">
        <f t="shared" si="14"/>
        <v>1E-13</v>
      </c>
      <c r="AM30" s="41">
        <f t="shared" si="15"/>
        <v>55.33501092157374</v>
      </c>
      <c r="AN30" s="42">
        <f t="shared" si="16"/>
        <v>2.9376496519614587E-36</v>
      </c>
      <c r="AO30" s="41">
        <f t="shared" si="17"/>
        <v>1.1220184543019587E-8</v>
      </c>
      <c r="AP30" s="42">
        <f t="shared" si="18"/>
        <v>10.964781961431855</v>
      </c>
      <c r="AQ30" s="41">
        <f t="shared" si="19"/>
        <v>1E-3</v>
      </c>
      <c r="AR30" s="42">
        <f t="shared" si="20"/>
        <v>0.01</v>
      </c>
      <c r="AS30" s="41">
        <f t="shared" si="21"/>
        <v>46.989410860521595</v>
      </c>
      <c r="AT30" s="42">
        <f t="shared" si="22"/>
        <v>1.2852866599435972E-40</v>
      </c>
      <c r="AU30" s="41">
        <f t="shared" si="23"/>
        <v>1.4190575216890924E-2</v>
      </c>
      <c r="AV30" s="42">
        <f t="shared" si="24"/>
        <v>55.33501092157374</v>
      </c>
      <c r="AW30" s="41">
        <f t="shared" si="25"/>
        <v>1E-13</v>
      </c>
      <c r="AX30" s="42">
        <f t="shared" si="26"/>
        <v>1E-3</v>
      </c>
      <c r="AY30" s="52">
        <f t="shared" si="27"/>
        <v>97.050996724549123</v>
      </c>
      <c r="AZ30" s="41"/>
      <c r="BA30" s="59">
        <f t="shared" si="11"/>
        <v>91.321483178613249</v>
      </c>
      <c r="BB30" s="60">
        <f t="shared" si="12"/>
        <v>114.82020787900666</v>
      </c>
      <c r="BD30" s="31" t="s">
        <v>71</v>
      </c>
      <c r="BE30" s="32">
        <v>6500</v>
      </c>
    </row>
    <row r="31" spans="2:69">
      <c r="B31" s="53">
        <v>475</v>
      </c>
      <c r="C31" s="54">
        <v>0.1421</v>
      </c>
      <c r="D31" s="54">
        <v>0.11260000000000001</v>
      </c>
      <c r="E31" s="55">
        <v>1.0419</v>
      </c>
      <c r="F31" s="54">
        <v>0.13234899999999999</v>
      </c>
      <c r="G31" s="55">
        <v>0.21994</v>
      </c>
      <c r="H31" s="54">
        <v>1.0302</v>
      </c>
      <c r="I31" s="41">
        <f t="shared" si="7"/>
        <v>45.52986424690139</v>
      </c>
      <c r="J31" s="56">
        <v>93.75</v>
      </c>
      <c r="K31" s="57">
        <v>124.09</v>
      </c>
      <c r="L31" s="56">
        <f t="shared" si="10"/>
        <v>93.19406181356365</v>
      </c>
      <c r="M31" s="57">
        <v>100</v>
      </c>
      <c r="N31" s="57">
        <v>7.62</v>
      </c>
      <c r="O31" s="56">
        <v>13.88</v>
      </c>
      <c r="P31" s="57">
        <v>4.79</v>
      </c>
      <c r="Q31" s="42">
        <f t="shared" si="8"/>
        <v>90.487640392120937</v>
      </c>
      <c r="R31" s="57">
        <v>121.3</v>
      </c>
      <c r="S31" s="56">
        <v>26.1</v>
      </c>
      <c r="T31" s="57">
        <v>-2.6</v>
      </c>
      <c r="U31" s="80">
        <f>AVERAGE(U30,U32)</f>
        <v>3.7</v>
      </c>
      <c r="V31" s="48">
        <v>-10</v>
      </c>
      <c r="W31" s="47">
        <f t="shared" ref="W31:AI31" si="32">AVERAGE(W30,W32)</f>
        <v>4.6624999999999996</v>
      </c>
      <c r="X31" s="48">
        <f t="shared" si="0"/>
        <v>-31.182000000000013</v>
      </c>
      <c r="Y31" s="47">
        <f t="shared" si="1"/>
        <v>-3.8500000000000005</v>
      </c>
      <c r="Z31" s="48">
        <f t="shared" si="32"/>
        <v>3.4690000000000003</v>
      </c>
      <c r="AA31" s="47">
        <f t="shared" si="32"/>
        <v>0</v>
      </c>
      <c r="AB31" s="48">
        <f t="shared" si="32"/>
        <v>2</v>
      </c>
      <c r="AC31" s="47">
        <f>AVERAGE(AC30,AC32)</f>
        <v>4.4634999999999998</v>
      </c>
      <c r="AD31" s="48">
        <f t="shared" si="3"/>
        <v>-35.591000000000008</v>
      </c>
      <c r="AE31" s="47">
        <f t="shared" si="32"/>
        <v>1.6795</v>
      </c>
      <c r="AF31" s="48">
        <f t="shared" si="32"/>
        <v>4.5430000000000001</v>
      </c>
      <c r="AG31" s="47">
        <v>-10</v>
      </c>
      <c r="AH31" s="48">
        <f>AVERAGE(AH30,AH32)</f>
        <v>1.5</v>
      </c>
      <c r="AI31" s="58">
        <f t="shared" si="32"/>
        <v>4.9580000000000002</v>
      </c>
      <c r="AJ31" s="47"/>
      <c r="AK31" s="50">
        <f t="shared" si="9"/>
        <v>5.0118723362727327</v>
      </c>
      <c r="AL31" s="42">
        <f t="shared" si="14"/>
        <v>1E-13</v>
      </c>
      <c r="AM31" s="41">
        <f t="shared" si="15"/>
        <v>45.972698853087209</v>
      </c>
      <c r="AN31" s="42">
        <f t="shared" si="16"/>
        <v>6.5765783735539587E-35</v>
      </c>
      <c r="AO31" s="41">
        <f t="shared" si="17"/>
        <v>1.412537544622751E-7</v>
      </c>
      <c r="AP31" s="42">
        <f t="shared" si="18"/>
        <v>2.9444216337987665</v>
      </c>
      <c r="AQ31" s="41">
        <f t="shared" si="19"/>
        <v>1E-3</v>
      </c>
      <c r="AR31" s="42">
        <f t="shared" si="20"/>
        <v>0.1</v>
      </c>
      <c r="AS31" s="41">
        <f t="shared" si="21"/>
        <v>29.073679594442311</v>
      </c>
      <c r="AT31" s="42">
        <f t="shared" si="22"/>
        <v>2.5644840365176488E-39</v>
      </c>
      <c r="AU31" s="41">
        <f t="shared" si="23"/>
        <v>4.7807936614911881E-2</v>
      </c>
      <c r="AV31" s="42">
        <f t="shared" si="24"/>
        <v>34.914031547858663</v>
      </c>
      <c r="AW31" s="41">
        <f t="shared" si="25"/>
        <v>1E-13</v>
      </c>
      <c r="AX31" s="42">
        <f t="shared" si="26"/>
        <v>3.1622776601683805E-2</v>
      </c>
      <c r="AY31" s="52">
        <f t="shared" si="27"/>
        <v>90.782053017818654</v>
      </c>
      <c r="AZ31" s="41"/>
      <c r="BA31" s="59">
        <f t="shared" si="11"/>
        <v>93.19406181356365</v>
      </c>
      <c r="BB31" s="60">
        <f t="shared" si="12"/>
        <v>115.35374699192609</v>
      </c>
      <c r="BD31" s="31" t="s">
        <v>16</v>
      </c>
      <c r="BE31" s="32">
        <f>1/BE30</f>
        <v>1.5384615384615385E-4</v>
      </c>
    </row>
    <row r="32" spans="2:69">
      <c r="B32" s="53">
        <v>480</v>
      </c>
      <c r="C32" s="54">
        <v>9.5640000000000003E-2</v>
      </c>
      <c r="D32" s="54">
        <v>0.13902</v>
      </c>
      <c r="E32" s="55">
        <v>0.81295010000000001</v>
      </c>
      <c r="F32" s="54">
        <v>8.0506999999999995E-2</v>
      </c>
      <c r="G32" s="55">
        <v>0.25358900000000001</v>
      </c>
      <c r="H32" s="54">
        <v>0.77212499999999995</v>
      </c>
      <c r="I32" s="41">
        <f t="shared" si="7"/>
        <v>48.254649648967423</v>
      </c>
      <c r="J32" s="56">
        <v>95.2</v>
      </c>
      <c r="K32" s="57">
        <v>123.9</v>
      </c>
      <c r="L32" s="56">
        <f t="shared" si="10"/>
        <v>95.066640448514065</v>
      </c>
      <c r="M32" s="57">
        <v>100</v>
      </c>
      <c r="N32" s="57">
        <v>7.65</v>
      </c>
      <c r="O32" s="56">
        <v>13.95</v>
      </c>
      <c r="P32" s="57">
        <v>5.66</v>
      </c>
      <c r="Q32" s="42">
        <f t="shared" si="8"/>
        <v>91.479430710812323</v>
      </c>
      <c r="R32" s="57">
        <v>121.3</v>
      </c>
      <c r="S32" s="56">
        <v>24.3</v>
      </c>
      <c r="T32" s="57">
        <v>-2.6</v>
      </c>
      <c r="U32" s="80">
        <v>3.8180000000000001</v>
      </c>
      <c r="V32" s="48">
        <v>-10</v>
      </c>
      <c r="W32" s="47">
        <v>4.5819999999999999</v>
      </c>
      <c r="X32" s="48">
        <f t="shared" si="0"/>
        <v>-29.832000000000011</v>
      </c>
      <c r="Y32" s="47">
        <f t="shared" si="1"/>
        <v>-2.7500000000000004</v>
      </c>
      <c r="Z32" s="48">
        <v>2.8980000000000001</v>
      </c>
      <c r="AA32" s="47">
        <v>0</v>
      </c>
      <c r="AB32" s="48">
        <v>3</v>
      </c>
      <c r="AC32" s="47">
        <v>4.2549999999999999</v>
      </c>
      <c r="AD32" s="48">
        <f t="shared" si="3"/>
        <v>-34.291000000000011</v>
      </c>
      <c r="AE32" s="47">
        <v>2.2069999999999999</v>
      </c>
      <c r="AF32" s="48">
        <v>4.343</v>
      </c>
      <c r="AG32" s="47">
        <v>-10</v>
      </c>
      <c r="AH32" s="48">
        <v>3</v>
      </c>
      <c r="AI32" s="58">
        <v>4.9290000000000003</v>
      </c>
      <c r="AJ32" s="47"/>
      <c r="AK32" s="50">
        <f t="shared" si="9"/>
        <v>6.5765783735542129</v>
      </c>
      <c r="AL32" s="42">
        <f t="shared" si="14"/>
        <v>1E-13</v>
      </c>
      <c r="AM32" s="41">
        <f t="shared" si="15"/>
        <v>38.194427084004666</v>
      </c>
      <c r="AN32" s="42">
        <f t="shared" si="16"/>
        <v>1.4723125024326654E-33</v>
      </c>
      <c r="AO32" s="41">
        <f t="shared" si="17"/>
        <v>1.7782794100389204E-6</v>
      </c>
      <c r="AP32" s="42">
        <f t="shared" si="18"/>
        <v>0.79067862799982591</v>
      </c>
      <c r="AQ32" s="41">
        <f t="shared" si="19"/>
        <v>1E-3</v>
      </c>
      <c r="AR32" s="42">
        <f t="shared" si="20"/>
        <v>1</v>
      </c>
      <c r="AS32" s="41">
        <f t="shared" si="21"/>
        <v>17.988709151287882</v>
      </c>
      <c r="AT32" s="42">
        <f t="shared" si="22"/>
        <v>5.1168183554028771E-38</v>
      </c>
      <c r="AU32" s="41">
        <f t="shared" si="23"/>
        <v>0.16106456351782703</v>
      </c>
      <c r="AV32" s="42">
        <f t="shared" si="24"/>
        <v>22.029264630534595</v>
      </c>
      <c r="AW32" s="41">
        <f t="shared" si="25"/>
        <v>1E-13</v>
      </c>
      <c r="AX32" s="42">
        <f t="shared" si="26"/>
        <v>1</v>
      </c>
      <c r="AY32" s="52">
        <f t="shared" si="27"/>
        <v>84.918047503631541</v>
      </c>
      <c r="AZ32" s="41"/>
      <c r="BA32" s="59">
        <f t="shared" si="11"/>
        <v>95.066640448514065</v>
      </c>
      <c r="BB32" s="60">
        <f t="shared" si="12"/>
        <v>115.88728610484551</v>
      </c>
      <c r="BD32" s="31" t="s">
        <v>17</v>
      </c>
      <c r="BE32" s="32">
        <f>IF(BE30&lt;=7000,((-4607000000*BE31+2967800)*BE31+99.11)*BE31+0.244063,((-2006400000*BE31+1901800)*BE31+247.48)*BE31+0.23704)</f>
        <v>0.3127788761948111</v>
      </c>
    </row>
    <row r="33" spans="2:57">
      <c r="B33" s="53">
        <v>485</v>
      </c>
      <c r="C33" s="54">
        <v>5.7950010000000003E-2</v>
      </c>
      <c r="D33" s="54">
        <v>0.16930000000000001</v>
      </c>
      <c r="E33" s="55">
        <v>0.61619999999999997</v>
      </c>
      <c r="F33" s="54">
        <v>4.1071999999999997E-2</v>
      </c>
      <c r="G33" s="55">
        <v>0.29766500000000001</v>
      </c>
      <c r="H33" s="54">
        <v>0.57006000000000001</v>
      </c>
      <c r="I33" s="41">
        <f t="shared" si="7"/>
        <v>51.053844942959763</v>
      </c>
      <c r="J33" s="56">
        <v>96.23</v>
      </c>
      <c r="K33" s="57">
        <v>122.92</v>
      </c>
      <c r="L33" s="56">
        <f t="shared" si="10"/>
        <v>93.498015211800649</v>
      </c>
      <c r="M33" s="57">
        <v>100</v>
      </c>
      <c r="N33" s="57">
        <v>7.62</v>
      </c>
      <c r="O33" s="56">
        <v>13.93</v>
      </c>
      <c r="P33" s="57">
        <v>14.29</v>
      </c>
      <c r="Q33" s="42">
        <f t="shared" si="8"/>
        <v>92.412566698079374</v>
      </c>
      <c r="R33" s="57">
        <v>117.4</v>
      </c>
      <c r="S33" s="56">
        <v>22.2</v>
      </c>
      <c r="T33" s="57">
        <v>-2.2000000000000002</v>
      </c>
      <c r="U33" s="80">
        <f>AVERAGE(U32,U34)</f>
        <v>3.9295</v>
      </c>
      <c r="V33" s="48">
        <v>-10</v>
      </c>
      <c r="W33" s="47">
        <f t="shared" ref="W33:AI33" si="33">AVERAGE(W32,W34)</f>
        <v>4.4664999999999999</v>
      </c>
      <c r="X33" s="48">
        <f t="shared" si="0"/>
        <v>-28.48200000000001</v>
      </c>
      <c r="Y33" s="47">
        <f t="shared" si="1"/>
        <v>-1.6500000000000004</v>
      </c>
      <c r="Z33" s="48">
        <f t="shared" si="33"/>
        <v>2.2320000000000002</v>
      </c>
      <c r="AA33" s="47">
        <f t="shared" si="33"/>
        <v>0</v>
      </c>
      <c r="AB33" s="48">
        <f t="shared" si="33"/>
        <v>3.3494999999999999</v>
      </c>
      <c r="AC33" s="47">
        <f t="shared" si="33"/>
        <v>4.0164999999999997</v>
      </c>
      <c r="AD33" s="48">
        <f t="shared" si="3"/>
        <v>-32.991000000000014</v>
      </c>
      <c r="AE33" s="47">
        <f t="shared" si="33"/>
        <v>2.6814999999999998</v>
      </c>
      <c r="AF33" s="48">
        <f t="shared" si="33"/>
        <v>4.0430000000000001</v>
      </c>
      <c r="AG33" s="47">
        <v>-10</v>
      </c>
      <c r="AH33" s="48">
        <f t="shared" si="33"/>
        <v>3.3494999999999999</v>
      </c>
      <c r="AI33" s="58">
        <f t="shared" si="33"/>
        <v>4.8710000000000004</v>
      </c>
      <c r="AJ33" s="47"/>
      <c r="AK33" s="50">
        <f t="shared" si="9"/>
        <v>8.5015869318743764</v>
      </c>
      <c r="AL33" s="42">
        <f t="shared" si="14"/>
        <v>1E-13</v>
      </c>
      <c r="AM33" s="41">
        <f t="shared" si="15"/>
        <v>29.27520871369445</v>
      </c>
      <c r="AN33" s="42">
        <f t="shared" si="16"/>
        <v>3.2960971217744626E-32</v>
      </c>
      <c r="AO33" s="41">
        <f t="shared" si="17"/>
        <v>2.2387211385683372E-5</v>
      </c>
      <c r="AP33" s="42">
        <f t="shared" si="18"/>
        <v>0.17060823890031243</v>
      </c>
      <c r="AQ33" s="41">
        <f t="shared" si="19"/>
        <v>1E-3</v>
      </c>
      <c r="AR33" s="42">
        <f t="shared" si="20"/>
        <v>2.2361451987225229</v>
      </c>
      <c r="AS33" s="41">
        <f t="shared" si="21"/>
        <v>10.387236024226217</v>
      </c>
      <c r="AT33" s="42">
        <f t="shared" si="22"/>
        <v>1.0209394837076419E-36</v>
      </c>
      <c r="AU33" s="41">
        <f t="shared" si="23"/>
        <v>0.48028608023969116</v>
      </c>
      <c r="AV33" s="42">
        <f t="shared" si="24"/>
        <v>11.04078619902074</v>
      </c>
      <c r="AW33" s="41">
        <f t="shared" si="25"/>
        <v>1E-13</v>
      </c>
      <c r="AX33" s="42">
        <f t="shared" si="26"/>
        <v>2.2361451987225229</v>
      </c>
      <c r="AY33" s="52">
        <f t="shared" si="27"/>
        <v>74.301913789670309</v>
      </c>
      <c r="AZ33" s="41"/>
      <c r="BA33" s="59">
        <f t="shared" si="11"/>
        <v>93.498015211800649</v>
      </c>
      <c r="BB33" s="60">
        <f t="shared" si="12"/>
        <v>112.33435392182723</v>
      </c>
      <c r="BD33" s="31" t="s">
        <v>18</v>
      </c>
      <c r="BE33" s="32">
        <f>(-3*BE32+2.87)*BE32-0.275</f>
        <v>0.32918349849804096</v>
      </c>
    </row>
    <row r="34" spans="2:57">
      <c r="B34" s="53">
        <v>490</v>
      </c>
      <c r="C34" s="54">
        <v>3.2009999999999997E-2</v>
      </c>
      <c r="D34" s="54">
        <v>0.20802000000000001</v>
      </c>
      <c r="E34" s="55">
        <v>0.46517999999999998</v>
      </c>
      <c r="F34" s="54">
        <v>1.6171999999999999E-2</v>
      </c>
      <c r="G34" s="55">
        <v>0.33913300000000002</v>
      </c>
      <c r="H34" s="54">
        <v>0.41525400000000001</v>
      </c>
      <c r="I34" s="41">
        <f t="shared" si="7"/>
        <v>53.924940934163033</v>
      </c>
      <c r="J34" s="56">
        <v>96.5</v>
      </c>
      <c r="K34" s="57">
        <v>120.7</v>
      </c>
      <c r="L34" s="56">
        <f t="shared" si="10"/>
        <v>91.929389975087204</v>
      </c>
      <c r="M34" s="57">
        <v>100</v>
      </c>
      <c r="N34" s="57">
        <v>7.62</v>
      </c>
      <c r="O34" s="56">
        <v>13.82</v>
      </c>
      <c r="P34" s="57">
        <v>14.96</v>
      </c>
      <c r="Q34" s="42">
        <f t="shared" si="8"/>
        <v>93.287726789490762</v>
      </c>
      <c r="R34" s="57">
        <v>113.5</v>
      </c>
      <c r="S34" s="56">
        <v>20.100000000000001</v>
      </c>
      <c r="T34" s="57">
        <v>-1.8</v>
      </c>
      <c r="U34" s="80">
        <v>4.0410000000000004</v>
      </c>
      <c r="V34" s="48">
        <v>-10</v>
      </c>
      <c r="W34" s="47">
        <v>4.351</v>
      </c>
      <c r="X34" s="48">
        <f t="shared" si="0"/>
        <v>-27.132000000000009</v>
      </c>
      <c r="Y34" s="47">
        <f>Y35-1.1</f>
        <v>-0.55000000000000027</v>
      </c>
      <c r="Z34" s="48">
        <v>1.5660000000000001</v>
      </c>
      <c r="AA34" s="47">
        <v>0</v>
      </c>
      <c r="AB34" s="48">
        <v>3.6989999999999998</v>
      </c>
      <c r="AC34" s="47">
        <v>3.778</v>
      </c>
      <c r="AD34" s="48">
        <f t="shared" si="3"/>
        <v>-31.691000000000013</v>
      </c>
      <c r="AE34" s="47">
        <v>3.1560000000000001</v>
      </c>
      <c r="AF34" s="48">
        <v>3.7429999999999999</v>
      </c>
      <c r="AG34" s="47">
        <v>-10</v>
      </c>
      <c r="AH34" s="48">
        <v>3.6989999999999998</v>
      </c>
      <c r="AI34" s="58">
        <v>4.8129999999999997</v>
      </c>
      <c r="AJ34" s="47"/>
      <c r="AK34" s="50">
        <f t="shared" si="9"/>
        <v>10.990058394325224</v>
      </c>
      <c r="AL34" s="42">
        <f t="shared" si="14"/>
        <v>1E-13</v>
      </c>
      <c r="AM34" s="41">
        <f t="shared" si="15"/>
        <v>22.438819237827701</v>
      </c>
      <c r="AN34" s="42">
        <f t="shared" si="16"/>
        <v>7.3790423012908152E-31</v>
      </c>
      <c r="AO34" s="41">
        <f t="shared" si="17"/>
        <v>2.8183829312644518E-4</v>
      </c>
      <c r="AP34" s="42">
        <f t="shared" si="18"/>
        <v>3.681289736425316E-2</v>
      </c>
      <c r="AQ34" s="41">
        <f t="shared" si="19"/>
        <v>1E-3</v>
      </c>
      <c r="AR34" s="42">
        <f t="shared" si="20"/>
        <v>5.0003453497697912</v>
      </c>
      <c r="AS34" s="41">
        <f t="shared" si="21"/>
        <v>5.9979107625551036</v>
      </c>
      <c r="AT34" s="42">
        <f t="shared" si="22"/>
        <v>2.0370420777056461E-35</v>
      </c>
      <c r="AU34" s="41">
        <f t="shared" si="23"/>
        <v>1.4321878992735446</v>
      </c>
      <c r="AV34" s="42">
        <f t="shared" si="24"/>
        <v>5.5335010921573673</v>
      </c>
      <c r="AW34" s="41">
        <f t="shared" si="25"/>
        <v>1E-13</v>
      </c>
      <c r="AX34" s="42">
        <f t="shared" si="26"/>
        <v>5.0003453497697912</v>
      </c>
      <c r="AY34" s="52">
        <f t="shared" si="27"/>
        <v>65.012969034309108</v>
      </c>
      <c r="AZ34" s="41"/>
      <c r="BA34" s="59">
        <f t="shared" si="11"/>
        <v>91.929389975087204</v>
      </c>
      <c r="BB34" s="60">
        <f t="shared" si="12"/>
        <v>108.78142173880896</v>
      </c>
      <c r="BD34" s="31" t="s">
        <v>19</v>
      </c>
      <c r="BE34" s="32">
        <f>0.0241+0.2562*BE32-0.734*BE33</f>
        <v>-0.13738673981645144</v>
      </c>
    </row>
    <row r="35" spans="2:57">
      <c r="B35" s="65">
        <v>495</v>
      </c>
      <c r="C35" s="66">
        <v>1.47E-2</v>
      </c>
      <c r="D35" s="66">
        <v>0.2586</v>
      </c>
      <c r="E35" s="67">
        <v>0.3533</v>
      </c>
      <c r="F35" s="66">
        <v>5.1320000000000003E-3</v>
      </c>
      <c r="G35" s="67">
        <v>0.39537899999999998</v>
      </c>
      <c r="H35" s="66">
        <v>0.30235600000000001</v>
      </c>
      <c r="I35" s="68">
        <f t="shared" si="7"/>
        <v>56.865284693925197</v>
      </c>
      <c r="J35" s="69">
        <v>95.71</v>
      </c>
      <c r="K35" s="70">
        <v>116.9</v>
      </c>
      <c r="L35" s="69">
        <f t="shared" si="10"/>
        <v>93.813029213058471</v>
      </c>
      <c r="M35" s="70">
        <v>100</v>
      </c>
      <c r="N35" s="70">
        <v>7.45</v>
      </c>
      <c r="O35" s="69">
        <v>13.64</v>
      </c>
      <c r="P35" s="70">
        <v>8.9700000000000006</v>
      </c>
      <c r="Q35" s="68">
        <f t="shared" si="8"/>
        <v>94.105681027942495</v>
      </c>
      <c r="R35" s="70">
        <v>113.3</v>
      </c>
      <c r="S35" s="69">
        <v>18.149999999999999</v>
      </c>
      <c r="T35" s="70">
        <v>-1.65</v>
      </c>
      <c r="U35" s="93">
        <f>AVERAGE(U34,U36)</f>
        <v>4.1585000000000001</v>
      </c>
      <c r="V35" s="72">
        <v>-10</v>
      </c>
      <c r="W35" s="73">
        <f t="shared" ref="W35:AI35" si="34">AVERAGE(W34,W36)</f>
        <v>4.1719999999999997</v>
      </c>
      <c r="X35" s="72">
        <f t="shared" si="0"/>
        <v>-25.782000000000007</v>
      </c>
      <c r="Y35" s="73">
        <f>Y36-1.1</f>
        <v>0.54999999999999982</v>
      </c>
      <c r="Z35" s="72">
        <f t="shared" si="34"/>
        <v>0.86550000000000005</v>
      </c>
      <c r="AA35" s="73">
        <f t="shared" si="34"/>
        <v>0</v>
      </c>
      <c r="AB35" s="72">
        <f t="shared" si="34"/>
        <v>4.0730000000000004</v>
      </c>
      <c r="AC35" s="73">
        <f t="shared" si="34"/>
        <v>3.3405</v>
      </c>
      <c r="AD35" s="72">
        <f t="shared" si="3"/>
        <v>-30.391000000000012</v>
      </c>
      <c r="AE35" s="73">
        <f t="shared" si="34"/>
        <v>3.48</v>
      </c>
      <c r="AF35" s="72">
        <f t="shared" si="34"/>
        <v>3.3665000000000003</v>
      </c>
      <c r="AG35" s="73">
        <v>-10</v>
      </c>
      <c r="AH35" s="72">
        <f t="shared" si="34"/>
        <v>4.0730000000000004</v>
      </c>
      <c r="AI35" s="74">
        <f t="shared" si="34"/>
        <v>4.7074999999999996</v>
      </c>
      <c r="AJ35" s="47"/>
      <c r="AK35" s="75">
        <f t="shared" si="9"/>
        <v>14.404560102463794</v>
      </c>
      <c r="AL35" s="68">
        <f t="shared" si="14"/>
        <v>1E-13</v>
      </c>
      <c r="AM35" s="76">
        <f t="shared" si="15"/>
        <v>14.85935642287008</v>
      </c>
      <c r="AN35" s="68">
        <f t="shared" si="16"/>
        <v>1.6519617982289735E-29</v>
      </c>
      <c r="AO35" s="76">
        <f t="shared" si="17"/>
        <v>3.5481338923357532E-3</v>
      </c>
      <c r="AP35" s="68">
        <f t="shared" si="18"/>
        <v>7.3366871441835971E-3</v>
      </c>
      <c r="AQ35" s="76">
        <f t="shared" si="19"/>
        <v>1E-3</v>
      </c>
      <c r="AR35" s="68">
        <f t="shared" si="20"/>
        <v>11.830415557251676</v>
      </c>
      <c r="AS35" s="76">
        <f t="shared" si="21"/>
        <v>2.1902818280684557</v>
      </c>
      <c r="AT35" s="68">
        <f t="shared" si="22"/>
        <v>4.0644332916519911E-34</v>
      </c>
      <c r="AU35" s="76">
        <f t="shared" si="23"/>
        <v>3.0199517204020174</v>
      </c>
      <c r="AV35" s="68">
        <f t="shared" si="24"/>
        <v>2.3254124858733829</v>
      </c>
      <c r="AW35" s="76">
        <f t="shared" si="25"/>
        <v>1E-13</v>
      </c>
      <c r="AX35" s="68">
        <f t="shared" si="26"/>
        <v>11.830415557251676</v>
      </c>
      <c r="AY35" s="77">
        <f t="shared" si="27"/>
        <v>50.991759757486989</v>
      </c>
      <c r="AZ35" s="41"/>
      <c r="BA35" s="78">
        <f t="shared" si="11"/>
        <v>93.813029213058471</v>
      </c>
      <c r="BB35" s="79">
        <f t="shared" si="12"/>
        <v>109.05614951393757</v>
      </c>
      <c r="BD35" s="31" t="s">
        <v>20</v>
      </c>
      <c r="BE35" s="32">
        <f>(-1.3515-1.7703*BE32+5.9114*BE33)/BE34</f>
        <v>-0.29641061828857146</v>
      </c>
    </row>
    <row r="36" spans="2:57" ht="12" thickBot="1">
      <c r="B36" s="53">
        <v>500</v>
      </c>
      <c r="C36" s="54">
        <v>4.8999999999999998E-3</v>
      </c>
      <c r="D36" s="54">
        <v>0.32300000000000001</v>
      </c>
      <c r="E36" s="55">
        <v>0.27200000000000002</v>
      </c>
      <c r="F36" s="54">
        <v>3.8159999999999999E-3</v>
      </c>
      <c r="G36" s="55">
        <v>0.46077699999999999</v>
      </c>
      <c r="H36" s="54">
        <v>0.218502</v>
      </c>
      <c r="I36" s="41">
        <f t="shared" si="7"/>
        <v>59.872092269723026</v>
      </c>
      <c r="J36" s="56">
        <v>94.2</v>
      </c>
      <c r="K36" s="57">
        <v>112.1</v>
      </c>
      <c r="L36" s="56">
        <f t="shared" si="10"/>
        <v>95.696668451029737</v>
      </c>
      <c r="M36" s="57">
        <v>100</v>
      </c>
      <c r="N36" s="57">
        <v>7.28</v>
      </c>
      <c r="O36" s="56">
        <v>13.43</v>
      </c>
      <c r="P36" s="57">
        <v>4.72</v>
      </c>
      <c r="Q36" s="42">
        <f t="shared" si="8"/>
        <v>94.867282043216377</v>
      </c>
      <c r="R36" s="57">
        <v>113.1</v>
      </c>
      <c r="S36" s="56">
        <v>16.2</v>
      </c>
      <c r="T36" s="57">
        <v>-1.5</v>
      </c>
      <c r="U36" s="80">
        <v>4.2759999999999998</v>
      </c>
      <c r="V36" s="48">
        <v>-10</v>
      </c>
      <c r="W36" s="47">
        <v>3.9929999999999999</v>
      </c>
      <c r="X36" s="48">
        <f t="shared" si="0"/>
        <v>-24.432000000000006</v>
      </c>
      <c r="Y36" s="47">
        <v>1.65</v>
      </c>
      <c r="Z36" s="48">
        <v>0.16500000000000001</v>
      </c>
      <c r="AA36" s="47">
        <v>0</v>
      </c>
      <c r="AB36" s="48">
        <v>4.4470000000000001</v>
      </c>
      <c r="AC36" s="47">
        <v>2.903</v>
      </c>
      <c r="AD36" s="48">
        <f t="shared" si="3"/>
        <v>-29.091000000000012</v>
      </c>
      <c r="AE36" s="47">
        <v>3.8039999999999998</v>
      </c>
      <c r="AF36" s="48">
        <v>2.99</v>
      </c>
      <c r="AG36" s="47">
        <v>-10</v>
      </c>
      <c r="AH36" s="48">
        <v>4.4470000000000001</v>
      </c>
      <c r="AI36" s="58">
        <v>4.6020000000000003</v>
      </c>
      <c r="AJ36" s="47"/>
      <c r="AK36" s="50">
        <f t="shared" si="9"/>
        <v>18.879913490962945</v>
      </c>
      <c r="AL36" s="42">
        <f t="shared" si="14"/>
        <v>1E-13</v>
      </c>
      <c r="AM36" s="41">
        <f t="shared" si="15"/>
        <v>9.8401110576113489</v>
      </c>
      <c r="AN36" s="42">
        <f t="shared" si="16"/>
        <v>3.6982817978026003E-28</v>
      </c>
      <c r="AO36" s="41">
        <f t="shared" si="17"/>
        <v>4.466835921509632E-2</v>
      </c>
      <c r="AP36" s="42">
        <f t="shared" si="18"/>
        <v>1.4621771744567182E-3</v>
      </c>
      <c r="AQ36" s="41">
        <f t="shared" si="19"/>
        <v>1E-3</v>
      </c>
      <c r="AR36" s="42">
        <f t="shared" si="20"/>
        <v>27.989813196343668</v>
      </c>
      <c r="AS36" s="41">
        <f t="shared" si="21"/>
        <v>0.7998342550070292</v>
      </c>
      <c r="AT36" s="42">
        <f t="shared" si="22"/>
        <v>8.1096105785381492E-33</v>
      </c>
      <c r="AU36" s="41">
        <f t="shared" si="23"/>
        <v>6.3679552090791596</v>
      </c>
      <c r="AV36" s="42">
        <f t="shared" si="24"/>
        <v>0.97723722095581134</v>
      </c>
      <c r="AW36" s="41">
        <f t="shared" si="25"/>
        <v>1E-13</v>
      </c>
      <c r="AX36" s="42">
        <f t="shared" si="26"/>
        <v>27.989813196343668</v>
      </c>
      <c r="AY36" s="52">
        <f t="shared" si="27"/>
        <v>39.994474976109821</v>
      </c>
      <c r="AZ36" s="41"/>
      <c r="BA36" s="59">
        <f t="shared" si="11"/>
        <v>95.696668451029737</v>
      </c>
      <c r="BB36" s="60">
        <f t="shared" si="12"/>
        <v>109.33087728906617</v>
      </c>
      <c r="BD36" s="61" t="s">
        <v>21</v>
      </c>
      <c r="BE36" s="62">
        <f>(0.03-31.4424*BE32+30.0717*BE33)/BE34</f>
        <v>-0.68848620356069068</v>
      </c>
    </row>
    <row r="37" spans="2:57" ht="12" thickBot="1">
      <c r="B37" s="53">
        <v>505</v>
      </c>
      <c r="C37" s="54">
        <v>2.3999999999999998E-3</v>
      </c>
      <c r="D37" s="54">
        <v>0.4073</v>
      </c>
      <c r="E37" s="55">
        <v>0.21229999999999999</v>
      </c>
      <c r="F37" s="54">
        <v>1.5443999999999999E-2</v>
      </c>
      <c r="G37" s="55">
        <v>0.53136000000000005</v>
      </c>
      <c r="H37" s="54">
        <v>0.159249</v>
      </c>
      <c r="I37" s="41">
        <f t="shared" si="7"/>
        <v>62.942461398743113</v>
      </c>
      <c r="J37" s="56">
        <v>92.37</v>
      </c>
      <c r="K37" s="57">
        <v>106.98</v>
      </c>
      <c r="L37" s="56">
        <f t="shared" si="10"/>
        <v>96.143825569116188</v>
      </c>
      <c r="M37" s="57">
        <v>100</v>
      </c>
      <c r="N37" s="57">
        <v>7.15</v>
      </c>
      <c r="O37" s="56">
        <v>13.25</v>
      </c>
      <c r="P37" s="57">
        <v>2.33</v>
      </c>
      <c r="Q37" s="42">
        <f t="shared" si="8"/>
        <v>95.573456465451869</v>
      </c>
      <c r="R37" s="57">
        <v>111.95</v>
      </c>
      <c r="S37" s="56">
        <v>14.7</v>
      </c>
      <c r="T37" s="57">
        <v>-1.4</v>
      </c>
      <c r="U37" s="80">
        <f>AVERAGE(U36,U38)</f>
        <v>4.3944999999999999</v>
      </c>
      <c r="V37" s="48">
        <v>-10</v>
      </c>
      <c r="W37" s="47">
        <f t="shared" ref="W37:AI37" si="35">AVERAGE(W36,W38)</f>
        <v>3.6974999999999998</v>
      </c>
      <c r="X37" s="48">
        <f t="shared" si="0"/>
        <v>-23.082000000000004</v>
      </c>
      <c r="Y37" s="47">
        <f t="shared" si="35"/>
        <v>2.7359999999999998</v>
      </c>
      <c r="Z37" s="48">
        <f>Z36-0.7</f>
        <v>-0.53499999999999992</v>
      </c>
      <c r="AA37" s="47">
        <f t="shared" si="35"/>
        <v>0</v>
      </c>
      <c r="AB37" s="48">
        <f t="shared" si="35"/>
        <v>4.6400000000000006</v>
      </c>
      <c r="AC37" s="47">
        <f t="shared" si="35"/>
        <v>2.3010000000000002</v>
      </c>
      <c r="AD37" s="48">
        <f t="shared" si="3"/>
        <v>-27.791000000000011</v>
      </c>
      <c r="AE37" s="47">
        <f t="shared" si="35"/>
        <v>4.0380000000000003</v>
      </c>
      <c r="AF37" s="48">
        <f t="shared" si="35"/>
        <v>2.4210000000000003</v>
      </c>
      <c r="AG37" s="47">
        <v>-10</v>
      </c>
      <c r="AH37" s="48">
        <f t="shared" si="35"/>
        <v>4.6400000000000006</v>
      </c>
      <c r="AI37" s="58">
        <f t="shared" si="35"/>
        <v>4.4284999999999997</v>
      </c>
      <c r="AJ37" s="47"/>
      <c r="AK37" s="50">
        <f t="shared" si="9"/>
        <v>24.802759376929586</v>
      </c>
      <c r="AL37" s="42">
        <f t="shared" si="14"/>
        <v>1E-13</v>
      </c>
      <c r="AM37" s="41">
        <f t="shared" si="15"/>
        <v>4.9831045597052963</v>
      </c>
      <c r="AN37" s="42">
        <f t="shared" si="16"/>
        <v>8.2794216371232132E-27</v>
      </c>
      <c r="AO37" s="41">
        <f t="shared" si="17"/>
        <v>0.54450265284242139</v>
      </c>
      <c r="AP37" s="42">
        <f t="shared" si="18"/>
        <v>2.9174270140011664E-4</v>
      </c>
      <c r="AQ37" s="41">
        <f t="shared" si="19"/>
        <v>1E-3</v>
      </c>
      <c r="AR37" s="42">
        <f t="shared" si="20"/>
        <v>43.651583224016676</v>
      </c>
      <c r="AS37" s="41">
        <f t="shared" si="21"/>
        <v>0.19998618696327461</v>
      </c>
      <c r="AT37" s="42">
        <f t="shared" si="22"/>
        <v>1.618080037643017E-31</v>
      </c>
      <c r="AU37" s="41">
        <f t="shared" si="23"/>
        <v>10.914403364487574</v>
      </c>
      <c r="AV37" s="42">
        <f t="shared" si="24"/>
        <v>0.2636331385825384</v>
      </c>
      <c r="AW37" s="41">
        <f t="shared" si="25"/>
        <v>1E-13</v>
      </c>
      <c r="AX37" s="42">
        <f t="shared" si="26"/>
        <v>43.651583224016676</v>
      </c>
      <c r="AY37" s="52">
        <f t="shared" si="27"/>
        <v>26.822546076084965</v>
      </c>
      <c r="AZ37" s="41"/>
      <c r="BA37" s="59">
        <f t="shared" si="11"/>
        <v>96.143825569116188</v>
      </c>
      <c r="BB37" s="60">
        <f t="shared" si="12"/>
        <v>108.55664459614297</v>
      </c>
    </row>
    <row r="38" spans="2:57" ht="12.6" thickBot="1">
      <c r="B38" s="53">
        <v>510</v>
      </c>
      <c r="C38" s="54">
        <v>9.2999999999999992E-3</v>
      </c>
      <c r="D38" s="54">
        <v>0.503</v>
      </c>
      <c r="E38" s="55">
        <v>0.15820000000000001</v>
      </c>
      <c r="F38" s="54">
        <v>3.7464999999999998E-2</v>
      </c>
      <c r="G38" s="55">
        <v>0.60674099999999997</v>
      </c>
      <c r="H38" s="54">
        <v>0.112044</v>
      </c>
      <c r="I38" s="41">
        <f t="shared" si="7"/>
        <v>66.0733841487137</v>
      </c>
      <c r="J38" s="56">
        <v>90.7</v>
      </c>
      <c r="K38" s="57">
        <v>102.3</v>
      </c>
      <c r="L38" s="56">
        <f t="shared" si="10"/>
        <v>96.590982687202626</v>
      </c>
      <c r="M38" s="57">
        <v>100</v>
      </c>
      <c r="N38" s="57">
        <v>7.05</v>
      </c>
      <c r="O38" s="56">
        <v>13.08</v>
      </c>
      <c r="P38" s="57">
        <v>1.47</v>
      </c>
      <c r="Q38" s="42">
        <f t="shared" si="8"/>
        <v>96.225196776615533</v>
      </c>
      <c r="R38" s="57">
        <v>110.8</v>
      </c>
      <c r="S38" s="56">
        <v>13.2</v>
      </c>
      <c r="T38" s="57">
        <v>-1.3</v>
      </c>
      <c r="U38" s="80">
        <v>4.5129999999999999</v>
      </c>
      <c r="V38" s="48">
        <v>-10</v>
      </c>
      <c r="W38" s="47">
        <v>3.4020000000000001</v>
      </c>
      <c r="X38" s="48">
        <f t="shared" si="0"/>
        <v>-21.732000000000003</v>
      </c>
      <c r="Y38" s="47">
        <v>3.8220000000000001</v>
      </c>
      <c r="Z38" s="48">
        <f>Z37-0.7</f>
        <v>-1.2349999999999999</v>
      </c>
      <c r="AA38" s="47">
        <v>0</v>
      </c>
      <c r="AB38" s="48">
        <v>4.8330000000000002</v>
      </c>
      <c r="AC38" s="47">
        <v>1.6990000000000001</v>
      </c>
      <c r="AD38" s="48">
        <f t="shared" si="3"/>
        <v>-26.49100000000001</v>
      </c>
      <c r="AE38" s="47">
        <v>4.2720000000000002</v>
      </c>
      <c r="AF38" s="48">
        <v>1.8520000000000001</v>
      </c>
      <c r="AG38" s="47">
        <v>-10</v>
      </c>
      <c r="AH38" s="48">
        <v>4.8330000000000002</v>
      </c>
      <c r="AI38" s="58">
        <v>4.2549999999999999</v>
      </c>
      <c r="AJ38" s="47"/>
      <c r="AK38" s="50">
        <f t="shared" si="9"/>
        <v>32.583670100200877</v>
      </c>
      <c r="AL38" s="42">
        <f t="shared" si="14"/>
        <v>1E-13</v>
      </c>
      <c r="AM38" s="41">
        <f t="shared" si="15"/>
        <v>2.523480772480577</v>
      </c>
      <c r="AN38" s="42">
        <f t="shared" si="16"/>
        <v>1.8535316234147852E-25</v>
      </c>
      <c r="AO38" s="41">
        <f t="shared" si="17"/>
        <v>6.6374307040190912</v>
      </c>
      <c r="AP38" s="42">
        <f t="shared" si="18"/>
        <v>5.8210321777087133E-5</v>
      </c>
      <c r="AQ38" s="41">
        <f t="shared" si="19"/>
        <v>1E-3</v>
      </c>
      <c r="AR38" s="42">
        <f t="shared" si="20"/>
        <v>68.076935869374296</v>
      </c>
      <c r="AS38" s="41">
        <f t="shared" si="21"/>
        <v>5.0003453497697872E-2</v>
      </c>
      <c r="AT38" s="42">
        <f t="shared" si="22"/>
        <v>3.2284941217125441E-30</v>
      </c>
      <c r="AU38" s="41">
        <f t="shared" si="23"/>
        <v>18.706821403658033</v>
      </c>
      <c r="AV38" s="42">
        <f t="shared" si="24"/>
        <v>7.1121351365332944E-2</v>
      </c>
      <c r="AW38" s="41">
        <f t="shared" si="25"/>
        <v>1E-13</v>
      </c>
      <c r="AX38" s="42">
        <f t="shared" si="26"/>
        <v>68.076935869374296</v>
      </c>
      <c r="AY38" s="52">
        <f t="shared" si="27"/>
        <v>17.988709151287882</v>
      </c>
      <c r="AZ38" s="41"/>
      <c r="BA38" s="59">
        <f t="shared" si="11"/>
        <v>96.590982687202626</v>
      </c>
      <c r="BB38" s="60">
        <f t="shared" si="12"/>
        <v>107.78241190321975</v>
      </c>
      <c r="BD38" s="319" t="s">
        <v>56</v>
      </c>
      <c r="BE38" s="320"/>
    </row>
    <row r="39" spans="2:57">
      <c r="B39" s="53">
        <v>515</v>
      </c>
      <c r="C39" s="54">
        <v>2.9100000000000001E-2</v>
      </c>
      <c r="D39" s="54">
        <v>0.60819999999999996</v>
      </c>
      <c r="E39" s="55">
        <v>0.11169999999999999</v>
      </c>
      <c r="F39" s="54">
        <v>7.1358000000000005E-2</v>
      </c>
      <c r="G39" s="55">
        <v>0.68566000000000005</v>
      </c>
      <c r="H39" s="54">
        <v>8.2248000000000002E-2</v>
      </c>
      <c r="I39" s="41">
        <f t="shared" si="7"/>
        <v>69.261759416755211</v>
      </c>
      <c r="J39" s="56">
        <v>89.65</v>
      </c>
      <c r="K39" s="57">
        <v>98.81</v>
      </c>
      <c r="L39" s="56">
        <f t="shared" si="10"/>
        <v>96.852059515230934</v>
      </c>
      <c r="M39" s="57">
        <v>100</v>
      </c>
      <c r="N39" s="57">
        <v>7.04</v>
      </c>
      <c r="O39" s="56">
        <v>12.93</v>
      </c>
      <c r="P39" s="57">
        <v>1.1000000000000001</v>
      </c>
      <c r="Q39" s="42">
        <f t="shared" si="8"/>
        <v>96.82355360029679</v>
      </c>
      <c r="R39" s="57">
        <v>108.65</v>
      </c>
      <c r="S39" s="56">
        <v>10.9</v>
      </c>
      <c r="T39" s="57">
        <v>-1.25</v>
      </c>
      <c r="U39" s="80">
        <f>AVERAGE(U38,U40)</f>
        <v>4.6074999999999999</v>
      </c>
      <c r="V39" s="48">
        <v>-10</v>
      </c>
      <c r="W39" s="47">
        <f t="shared" ref="W39:AI39" si="36">AVERAGE(W38,W40)</f>
        <v>3.1035000000000004</v>
      </c>
      <c r="X39" s="48">
        <f t="shared" si="0"/>
        <v>-20.382000000000001</v>
      </c>
      <c r="Y39" s="47">
        <f t="shared" si="36"/>
        <v>4.3019999999999996</v>
      </c>
      <c r="Z39" s="48">
        <f t="shared" ref="Z39:Z102" si="37">Z38-0.7</f>
        <v>-1.9349999999999998</v>
      </c>
      <c r="AA39" s="47">
        <f t="shared" si="36"/>
        <v>0</v>
      </c>
      <c r="AB39" s="48">
        <f t="shared" si="36"/>
        <v>4.8985000000000003</v>
      </c>
      <c r="AC39" s="47">
        <f t="shared" si="36"/>
        <v>1.3494999999999999</v>
      </c>
      <c r="AD39" s="48">
        <f t="shared" si="3"/>
        <v>-25.19100000000001</v>
      </c>
      <c r="AE39" s="47">
        <f t="shared" si="36"/>
        <v>4.4489999999999998</v>
      </c>
      <c r="AF39" s="48">
        <f>AF38-1.1</f>
        <v>0.752</v>
      </c>
      <c r="AG39" s="47">
        <v>-10</v>
      </c>
      <c r="AH39" s="48">
        <f t="shared" si="36"/>
        <v>4.8985000000000003</v>
      </c>
      <c r="AI39" s="58">
        <f t="shared" si="36"/>
        <v>3.9769999999999999</v>
      </c>
      <c r="AJ39" s="47"/>
      <c r="AK39" s="50">
        <f t="shared" si="9"/>
        <v>40.504194513649331</v>
      </c>
      <c r="AL39" s="42">
        <f t="shared" si="14"/>
        <v>1E-13</v>
      </c>
      <c r="AM39" s="41">
        <f t="shared" si="15"/>
        <v>1.269112144445192</v>
      </c>
      <c r="AN39" s="42">
        <f t="shared" si="16"/>
        <v>4.1495404263436064E-24</v>
      </c>
      <c r="AO39" s="41">
        <f t="shared" si="17"/>
        <v>20.044720273651603</v>
      </c>
      <c r="AP39" s="42">
        <f t="shared" si="18"/>
        <v>1.1614486138403424E-5</v>
      </c>
      <c r="AQ39" s="41">
        <f t="shared" si="19"/>
        <v>1E-3</v>
      </c>
      <c r="AR39" s="42">
        <f t="shared" si="20"/>
        <v>79.158945462426274</v>
      </c>
      <c r="AS39" s="41">
        <f t="shared" si="21"/>
        <v>2.2361451987225216E-2</v>
      </c>
      <c r="AT39" s="42">
        <f t="shared" si="22"/>
        <v>6.4416926551516022E-29</v>
      </c>
      <c r="AU39" s="41">
        <f t="shared" si="23"/>
        <v>28.119008303989439</v>
      </c>
      <c r="AV39" s="42">
        <f t="shared" si="24"/>
        <v>5.6493697481230266E-3</v>
      </c>
      <c r="AW39" s="41">
        <f t="shared" si="25"/>
        <v>1E-13</v>
      </c>
      <c r="AX39" s="42">
        <f t="shared" si="26"/>
        <v>79.158945462426274</v>
      </c>
      <c r="AY39" s="52">
        <f t="shared" si="27"/>
        <v>9.4841846330089794</v>
      </c>
      <c r="AZ39" s="41"/>
      <c r="BA39" s="59">
        <f t="shared" si="11"/>
        <v>96.852059515230934</v>
      </c>
      <c r="BB39" s="60">
        <f t="shared" si="12"/>
        <v>106.27973201510544</v>
      </c>
      <c r="BD39" s="94" t="s">
        <v>54</v>
      </c>
      <c r="BE39" s="95">
        <f>(216/24389)</f>
        <v>8.8564516790356311E-3</v>
      </c>
    </row>
    <row r="40" spans="2:57" ht="12" thickBot="1">
      <c r="B40" s="53">
        <v>520</v>
      </c>
      <c r="C40" s="54">
        <v>6.3270000000000007E-2</v>
      </c>
      <c r="D40" s="54">
        <v>0.71</v>
      </c>
      <c r="E40" s="55">
        <v>7.8249990000000005E-2</v>
      </c>
      <c r="F40" s="54">
        <v>0.11774900000000001</v>
      </c>
      <c r="G40" s="55">
        <v>0.76175700000000002</v>
      </c>
      <c r="H40" s="54">
        <v>6.0708999999999999E-2</v>
      </c>
      <c r="I40" s="41">
        <f t="shared" si="7"/>
        <v>72.504405223956667</v>
      </c>
      <c r="J40" s="56">
        <v>89.5</v>
      </c>
      <c r="K40" s="57">
        <v>96.9</v>
      </c>
      <c r="L40" s="56">
        <f t="shared" ref="L40:L71" si="38">(R40+S40*$BE$7+T40*$BE$8)</f>
        <v>97.113136343259214</v>
      </c>
      <c r="M40" s="57">
        <v>100</v>
      </c>
      <c r="N40" s="57">
        <v>7.16</v>
      </c>
      <c r="O40" s="56">
        <v>12.78</v>
      </c>
      <c r="P40" s="57">
        <v>0.89</v>
      </c>
      <c r="Q40" s="42">
        <f t="shared" si="8"/>
        <v>97.369628426923128</v>
      </c>
      <c r="R40" s="57">
        <v>106.5</v>
      </c>
      <c r="S40" s="56">
        <v>8.6</v>
      </c>
      <c r="T40" s="57">
        <v>-1.2</v>
      </c>
      <c r="U40" s="80">
        <v>4.702</v>
      </c>
      <c r="V40" s="48">
        <v>-10</v>
      </c>
      <c r="W40" s="47">
        <v>2.8050000000000002</v>
      </c>
      <c r="X40" s="48">
        <f t="shared" si="0"/>
        <v>-19.032</v>
      </c>
      <c r="Y40" s="47">
        <v>4.782</v>
      </c>
      <c r="Z40" s="48">
        <f t="shared" si="37"/>
        <v>-2.6349999999999998</v>
      </c>
      <c r="AA40" s="47">
        <v>0</v>
      </c>
      <c r="AB40" s="48">
        <v>4.9640000000000004</v>
      </c>
      <c r="AC40" s="47">
        <v>1</v>
      </c>
      <c r="AD40" s="48">
        <f t="shared" si="3"/>
        <v>-23.891000000000009</v>
      </c>
      <c r="AE40" s="47">
        <v>4.6260000000000003</v>
      </c>
      <c r="AF40" s="48">
        <f>AF39-1.1</f>
        <v>-0.34800000000000009</v>
      </c>
      <c r="AG40" s="47">
        <v>-10</v>
      </c>
      <c r="AH40" s="48">
        <v>4.9640000000000004</v>
      </c>
      <c r="AI40" s="58">
        <v>3.6989999999999998</v>
      </c>
      <c r="AJ40" s="47"/>
      <c r="AK40" s="50">
        <f t="shared" si="9"/>
        <v>50.350060878790529</v>
      </c>
      <c r="AL40" s="42">
        <f t="shared" si="14"/>
        <v>1E-13</v>
      </c>
      <c r="AM40" s="41">
        <f t="shared" si="15"/>
        <v>0.63826348619054918</v>
      </c>
      <c r="AN40" s="42">
        <f t="shared" si="16"/>
        <v>9.289663867799323E-23</v>
      </c>
      <c r="AO40" s="41">
        <f t="shared" si="17"/>
        <v>60.534087475391473</v>
      </c>
      <c r="AP40" s="42">
        <f t="shared" si="18"/>
        <v>2.3173946499684793E-6</v>
      </c>
      <c r="AQ40" s="41">
        <f t="shared" si="19"/>
        <v>1E-3</v>
      </c>
      <c r="AR40" s="42">
        <f t="shared" si="20"/>
        <v>92.044957175317279</v>
      </c>
      <c r="AS40" s="41">
        <f t="shared" si="21"/>
        <v>0.01</v>
      </c>
      <c r="AT40" s="42">
        <f t="shared" si="22"/>
        <v>1.2852866599435837E-27</v>
      </c>
      <c r="AU40" s="41">
        <f t="shared" si="23"/>
        <v>42.26686142656034</v>
      </c>
      <c r="AV40" s="42">
        <f t="shared" si="24"/>
        <v>4.4874538993313208E-4</v>
      </c>
      <c r="AW40" s="41">
        <f t="shared" si="25"/>
        <v>1E-13</v>
      </c>
      <c r="AX40" s="42">
        <f t="shared" si="26"/>
        <v>92.044957175317279</v>
      </c>
      <c r="AY40" s="52">
        <f t="shared" si="27"/>
        <v>5.0003453497697912</v>
      </c>
      <c r="AZ40" s="41"/>
      <c r="BA40" s="59">
        <f t="shared" si="11"/>
        <v>97.113136343259214</v>
      </c>
      <c r="BB40" s="60">
        <f t="shared" si="12"/>
        <v>104.77705212699111</v>
      </c>
      <c r="BD40" s="61" t="s">
        <v>55</v>
      </c>
      <c r="BE40" s="96">
        <f>(24389/27)</f>
        <v>903.2962962962963</v>
      </c>
    </row>
    <row r="41" spans="2:57">
      <c r="B41" s="53">
        <v>525</v>
      </c>
      <c r="C41" s="54">
        <v>0.1096</v>
      </c>
      <c r="D41" s="54">
        <v>0.79320000000000002</v>
      </c>
      <c r="E41" s="55">
        <v>5.7250009999999997E-2</v>
      </c>
      <c r="F41" s="54">
        <v>0.172953</v>
      </c>
      <c r="G41" s="55">
        <v>0.82333000000000001</v>
      </c>
      <c r="H41" s="54">
        <v>4.3049999999999998E-2</v>
      </c>
      <c r="I41" s="41">
        <f t="shared" si="7"/>
        <v>75.798070750169188</v>
      </c>
      <c r="J41" s="56">
        <v>90.43</v>
      </c>
      <c r="K41" s="57">
        <v>96.78</v>
      </c>
      <c r="L41" s="56">
        <f t="shared" si="38"/>
        <v>99.600213095380326</v>
      </c>
      <c r="M41" s="57">
        <v>100</v>
      </c>
      <c r="N41" s="57">
        <v>7.47</v>
      </c>
      <c r="O41" s="56">
        <v>12.6</v>
      </c>
      <c r="P41" s="57">
        <v>0.83</v>
      </c>
      <c r="Q41" s="42">
        <f t="shared" si="8"/>
        <v>97.864566768743686</v>
      </c>
      <c r="R41" s="57">
        <v>107.65</v>
      </c>
      <c r="S41" s="56">
        <v>7.35</v>
      </c>
      <c r="T41" s="57">
        <v>-1.1000000000000001</v>
      </c>
      <c r="U41" s="80">
        <f>AVERAGE(U40,U42)</f>
        <v>4.7635000000000005</v>
      </c>
      <c r="V41" s="48">
        <v>-10</v>
      </c>
      <c r="W41" s="47">
        <f t="shared" ref="W41:AI41" si="39">AVERAGE(W40,W42)</f>
        <v>2.508</v>
      </c>
      <c r="X41" s="48">
        <f t="shared" si="0"/>
        <v>-17.681999999999999</v>
      </c>
      <c r="Y41" s="47">
        <f t="shared" si="39"/>
        <v>4.891</v>
      </c>
      <c r="Z41" s="48">
        <f t="shared" si="37"/>
        <v>-3.335</v>
      </c>
      <c r="AA41" s="47">
        <f t="shared" si="39"/>
        <v>0</v>
      </c>
      <c r="AB41" s="48">
        <f t="shared" si="39"/>
        <v>4.9820000000000002</v>
      </c>
      <c r="AC41" s="47">
        <v>-10</v>
      </c>
      <c r="AD41" s="48">
        <f t="shared" si="3"/>
        <v>-22.591000000000008</v>
      </c>
      <c r="AE41" s="47">
        <f t="shared" si="39"/>
        <v>4.7490000000000006</v>
      </c>
      <c r="AF41" s="48">
        <f t="shared" ref="AF41:AF102" si="40">AF40-1.1</f>
        <v>-1.4480000000000002</v>
      </c>
      <c r="AG41" s="47">
        <v>-10</v>
      </c>
      <c r="AH41" s="48">
        <f t="shared" si="39"/>
        <v>4.9820000000000002</v>
      </c>
      <c r="AI41" s="58">
        <f t="shared" si="39"/>
        <v>3</v>
      </c>
      <c r="AJ41" s="47"/>
      <c r="AK41" s="50">
        <f t="shared" si="9"/>
        <v>58.00961725227048</v>
      </c>
      <c r="AL41" s="42">
        <f t="shared" si="14"/>
        <v>1E-13</v>
      </c>
      <c r="AM41" s="41">
        <f t="shared" si="15"/>
        <v>0.32210687912834357</v>
      </c>
      <c r="AN41" s="42">
        <f t="shared" si="16"/>
        <v>2.0796966871036895E-21</v>
      </c>
      <c r="AO41" s="41">
        <f t="shared" si="17"/>
        <v>77.803655103980546</v>
      </c>
      <c r="AP41" s="42">
        <f t="shared" si="18"/>
        <v>4.6238102139925987E-7</v>
      </c>
      <c r="AQ41" s="41">
        <f t="shared" si="19"/>
        <v>1E-3</v>
      </c>
      <c r="AR41" s="42">
        <f t="shared" si="20"/>
        <v>95.940063151593478</v>
      </c>
      <c r="AS41" s="41">
        <f t="shared" si="21"/>
        <v>1E-13</v>
      </c>
      <c r="AT41" s="42">
        <f t="shared" si="22"/>
        <v>2.5644840365176588E-26</v>
      </c>
      <c r="AU41" s="41">
        <f t="shared" si="23"/>
        <v>56.104797603247157</v>
      </c>
      <c r="AV41" s="42">
        <f t="shared" si="24"/>
        <v>3.5645113342624391E-5</v>
      </c>
      <c r="AW41" s="41">
        <f t="shared" si="25"/>
        <v>1E-13</v>
      </c>
      <c r="AX41" s="42">
        <f t="shared" si="26"/>
        <v>95.940063151593478</v>
      </c>
      <c r="AY41" s="52">
        <f t="shared" si="27"/>
        <v>1</v>
      </c>
      <c r="AZ41" s="41"/>
      <c r="BA41" s="59">
        <f t="shared" si="11"/>
        <v>99.600213095380326</v>
      </c>
      <c r="BB41" s="60">
        <f t="shared" si="12"/>
        <v>106.22871677949577</v>
      </c>
    </row>
    <row r="42" spans="2:57">
      <c r="B42" s="53">
        <v>530</v>
      </c>
      <c r="C42" s="54">
        <v>0.16550000000000001</v>
      </c>
      <c r="D42" s="54">
        <v>0.86199999999999999</v>
      </c>
      <c r="E42" s="55">
        <v>4.2160000000000003E-2</v>
      </c>
      <c r="F42" s="54">
        <v>0.23649100000000001</v>
      </c>
      <c r="G42" s="55">
        <v>0.87521099999999996</v>
      </c>
      <c r="H42" s="54">
        <v>3.0450999999999999E-2</v>
      </c>
      <c r="I42" s="41">
        <f t="shared" si="7"/>
        <v>79.139448060083154</v>
      </c>
      <c r="J42" s="56">
        <v>92.2</v>
      </c>
      <c r="K42" s="57">
        <v>98</v>
      </c>
      <c r="L42" s="56">
        <f t="shared" si="38"/>
        <v>102.08728984750144</v>
      </c>
      <c r="M42" s="57">
        <v>100</v>
      </c>
      <c r="N42" s="57">
        <v>8.0399999999999991</v>
      </c>
      <c r="O42" s="56">
        <v>12.44</v>
      </c>
      <c r="P42" s="57">
        <v>1.18</v>
      </c>
      <c r="Q42" s="42">
        <f t="shared" si="8"/>
        <v>98.309551736615944</v>
      </c>
      <c r="R42" s="57">
        <v>108.8</v>
      </c>
      <c r="S42" s="56">
        <v>6.1</v>
      </c>
      <c r="T42" s="57">
        <v>-1</v>
      </c>
      <c r="U42" s="80">
        <v>4.8250000000000002</v>
      </c>
      <c r="V42" s="48">
        <v>-10</v>
      </c>
      <c r="W42" s="47">
        <v>2.2109999999999999</v>
      </c>
      <c r="X42" s="48">
        <f t="shared" si="0"/>
        <v>-16.331999999999997</v>
      </c>
      <c r="Y42" s="47">
        <v>5</v>
      </c>
      <c r="Z42" s="48">
        <f t="shared" si="37"/>
        <v>-4.0350000000000001</v>
      </c>
      <c r="AA42" s="47">
        <v>0</v>
      </c>
      <c r="AB42" s="48">
        <v>5</v>
      </c>
      <c r="AC42" s="47">
        <v>-10</v>
      </c>
      <c r="AD42" s="48">
        <f t="shared" si="3"/>
        <v>-21.291000000000007</v>
      </c>
      <c r="AE42" s="47">
        <v>4.8719999999999999</v>
      </c>
      <c r="AF42" s="48">
        <f t="shared" si="40"/>
        <v>-2.548</v>
      </c>
      <c r="AG42" s="47">
        <v>-10</v>
      </c>
      <c r="AH42" s="48">
        <v>5</v>
      </c>
      <c r="AI42" s="58">
        <v>2.3010000000000002</v>
      </c>
      <c r="AJ42" s="47"/>
      <c r="AK42" s="50">
        <f t="shared" si="9"/>
        <v>66.834391756861592</v>
      </c>
      <c r="AL42" s="42">
        <f t="shared" si="14"/>
        <v>1E-13</v>
      </c>
      <c r="AM42" s="41">
        <f t="shared" si="15"/>
        <v>0.16255487557504839</v>
      </c>
      <c r="AN42" s="42">
        <f t="shared" si="16"/>
        <v>4.6558609352296141E-20</v>
      </c>
      <c r="AO42" s="41">
        <f t="shared" si="17"/>
        <v>100</v>
      </c>
      <c r="AP42" s="42">
        <f t="shared" si="18"/>
        <v>9.2257142715476252E-8</v>
      </c>
      <c r="AQ42" s="41">
        <f t="shared" si="19"/>
        <v>1E-3</v>
      </c>
      <c r="AR42" s="42">
        <f t="shared" si="20"/>
        <v>100</v>
      </c>
      <c r="AS42" s="41">
        <f t="shared" si="21"/>
        <v>1E-13</v>
      </c>
      <c r="AT42" s="42">
        <f t="shared" si="22"/>
        <v>5.1168183554029697E-25</v>
      </c>
      <c r="AU42" s="41">
        <f t="shared" si="23"/>
        <v>74.473197390598983</v>
      </c>
      <c r="AV42" s="42">
        <f t="shared" si="24"/>
        <v>2.8313919957993767E-6</v>
      </c>
      <c r="AW42" s="41">
        <f t="shared" si="25"/>
        <v>1E-13</v>
      </c>
      <c r="AX42" s="42">
        <f t="shared" si="26"/>
        <v>100</v>
      </c>
      <c r="AY42" s="52">
        <f t="shared" si="27"/>
        <v>0.19998618696327461</v>
      </c>
      <c r="AZ42" s="41"/>
      <c r="BA42" s="59">
        <f t="shared" si="11"/>
        <v>102.08728984750144</v>
      </c>
      <c r="BB42" s="60">
        <f t="shared" si="12"/>
        <v>107.6803814320004</v>
      </c>
    </row>
    <row r="43" spans="2:57">
      <c r="B43" s="53">
        <v>535</v>
      </c>
      <c r="C43" s="54">
        <v>0.2257499</v>
      </c>
      <c r="D43" s="54">
        <v>0.9148501</v>
      </c>
      <c r="E43" s="55">
        <v>2.9839999999999998E-2</v>
      </c>
      <c r="F43" s="54">
        <v>0.30421300000000001</v>
      </c>
      <c r="G43" s="55">
        <v>0.92381000000000002</v>
      </c>
      <c r="H43" s="54">
        <v>2.0584000000000002E-2</v>
      </c>
      <c r="I43" s="41">
        <f t="shared" si="7"/>
        <v>82.525183477976654</v>
      </c>
      <c r="J43" s="56">
        <v>94.46</v>
      </c>
      <c r="K43" s="57">
        <v>99.94</v>
      </c>
      <c r="L43" s="56">
        <f t="shared" si="38"/>
        <v>101.41728254390581</v>
      </c>
      <c r="M43" s="57">
        <v>100</v>
      </c>
      <c r="N43" s="57">
        <v>8.8800000000000008</v>
      </c>
      <c r="O43" s="56">
        <v>12.33</v>
      </c>
      <c r="P43" s="57">
        <v>4.9000000000000004</v>
      </c>
      <c r="Q43" s="42">
        <f t="shared" si="8"/>
        <v>98.705798028702773</v>
      </c>
      <c r="R43" s="57">
        <v>107.05</v>
      </c>
      <c r="S43" s="56">
        <v>5.15</v>
      </c>
      <c r="T43" s="57">
        <v>-0.75</v>
      </c>
      <c r="U43" s="80">
        <f>AVERAGE(U42,U44)</f>
        <v>4.8650000000000002</v>
      </c>
      <c r="V43" s="48">
        <v>-10</v>
      </c>
      <c r="W43" s="47">
        <f t="shared" ref="W43:AI43" si="41">AVERAGE(W42,W44)</f>
        <v>1.6054999999999999</v>
      </c>
      <c r="X43" s="48">
        <f t="shared" si="0"/>
        <v>-14.981999999999998</v>
      </c>
      <c r="Y43" s="47">
        <f t="shared" si="41"/>
        <v>4.9529999999999994</v>
      </c>
      <c r="Z43" s="48">
        <f t="shared" si="37"/>
        <v>-4.7350000000000003</v>
      </c>
      <c r="AA43" s="47">
        <f t="shared" si="41"/>
        <v>0</v>
      </c>
      <c r="AB43" s="48">
        <f t="shared" si="41"/>
        <v>4.9719999999999995</v>
      </c>
      <c r="AC43" s="47">
        <v>-10</v>
      </c>
      <c r="AD43" s="48">
        <f t="shared" si="3"/>
        <v>-19.991000000000007</v>
      </c>
      <c r="AE43" s="47">
        <f t="shared" si="41"/>
        <v>4.9359999999999999</v>
      </c>
      <c r="AF43" s="48">
        <f t="shared" si="40"/>
        <v>-3.6480000000000001</v>
      </c>
      <c r="AG43" s="47">
        <v>-10</v>
      </c>
      <c r="AH43" s="48">
        <f t="shared" si="41"/>
        <v>4.9719999999999995</v>
      </c>
      <c r="AI43" s="58">
        <f t="shared" si="41"/>
        <v>1.9515000000000002</v>
      </c>
      <c r="AJ43" s="47"/>
      <c r="AK43" s="50">
        <f t="shared" si="9"/>
        <v>73.282453313890528</v>
      </c>
      <c r="AL43" s="42">
        <f t="shared" si="14"/>
        <v>1E-13</v>
      </c>
      <c r="AM43" s="41">
        <f t="shared" si="15"/>
        <v>4.0318094644346533E-2</v>
      </c>
      <c r="AN43" s="42">
        <f t="shared" si="16"/>
        <v>1.0423174293933037E-18</v>
      </c>
      <c r="AO43" s="41">
        <f t="shared" si="17"/>
        <v>89.742879450074781</v>
      </c>
      <c r="AP43" s="42">
        <f t="shared" si="18"/>
        <v>1.8407720014689538E-8</v>
      </c>
      <c r="AQ43" s="41">
        <f t="shared" si="19"/>
        <v>1E-3</v>
      </c>
      <c r="AR43" s="42">
        <f t="shared" si="20"/>
        <v>93.756200692588038</v>
      </c>
      <c r="AS43" s="41">
        <f t="shared" si="21"/>
        <v>1E-13</v>
      </c>
      <c r="AT43" s="42">
        <f t="shared" si="22"/>
        <v>1.0209394837076602E-23</v>
      </c>
      <c r="AU43" s="41">
        <f t="shared" si="23"/>
        <v>86.297854776697164</v>
      </c>
      <c r="AV43" s="42">
        <f t="shared" si="24"/>
        <v>2.249054605835779E-7</v>
      </c>
      <c r="AW43" s="41">
        <f t="shared" si="25"/>
        <v>1E-13</v>
      </c>
      <c r="AX43" s="42">
        <f t="shared" si="26"/>
        <v>93.756200692588038</v>
      </c>
      <c r="AY43" s="52">
        <f t="shared" si="27"/>
        <v>8.9433453193255949E-2</v>
      </c>
      <c r="AZ43" s="41"/>
      <c r="BA43" s="59">
        <f t="shared" si="11"/>
        <v>101.41728254390581</v>
      </c>
      <c r="BB43" s="60">
        <f t="shared" si="12"/>
        <v>106.03984996848438</v>
      </c>
    </row>
    <row r="44" spans="2:57">
      <c r="B44" s="53">
        <v>540</v>
      </c>
      <c r="C44" s="54">
        <v>0.29039999999999999</v>
      </c>
      <c r="D44" s="54">
        <v>0.95399999999999996</v>
      </c>
      <c r="E44" s="55">
        <v>2.0299999999999999E-2</v>
      </c>
      <c r="F44" s="54">
        <v>0.376772</v>
      </c>
      <c r="G44" s="55">
        <v>0.96198799999999995</v>
      </c>
      <c r="H44" s="54">
        <v>1.3676000000000001E-2</v>
      </c>
      <c r="I44" s="41">
        <f t="shared" si="7"/>
        <v>85.95188857455156</v>
      </c>
      <c r="J44" s="56">
        <v>96.9</v>
      </c>
      <c r="K44" s="57">
        <v>102.1</v>
      </c>
      <c r="L44" s="56">
        <f t="shared" si="38"/>
        <v>100.74727524031019</v>
      </c>
      <c r="M44" s="57">
        <v>100</v>
      </c>
      <c r="N44" s="57">
        <v>10.01</v>
      </c>
      <c r="O44" s="56">
        <v>12.26</v>
      </c>
      <c r="P44" s="57">
        <v>39.590000000000003</v>
      </c>
      <c r="Q44" s="42">
        <f t="shared" si="8"/>
        <v>99.054546319617415</v>
      </c>
      <c r="R44" s="57">
        <v>105.3</v>
      </c>
      <c r="S44" s="56">
        <v>4.2</v>
      </c>
      <c r="T44" s="57">
        <v>-0.5</v>
      </c>
      <c r="U44" s="80">
        <v>4.9050000000000002</v>
      </c>
      <c r="V44" s="48">
        <v>-10</v>
      </c>
      <c r="W44" s="47">
        <v>1</v>
      </c>
      <c r="X44" s="48">
        <f t="shared" si="0"/>
        <v>-13.631999999999998</v>
      </c>
      <c r="Y44" s="47">
        <v>4.9059999999999997</v>
      </c>
      <c r="Z44" s="48">
        <f t="shared" si="37"/>
        <v>-5.4350000000000005</v>
      </c>
      <c r="AA44" s="47">
        <v>0</v>
      </c>
      <c r="AB44" s="48">
        <v>4.944</v>
      </c>
      <c r="AC44" s="47">
        <v>-10</v>
      </c>
      <c r="AD44" s="48">
        <f t="shared" si="3"/>
        <v>-18.691000000000006</v>
      </c>
      <c r="AE44" s="47">
        <v>5</v>
      </c>
      <c r="AF44" s="48">
        <f t="shared" si="40"/>
        <v>-4.7480000000000002</v>
      </c>
      <c r="AG44" s="47">
        <v>-10</v>
      </c>
      <c r="AH44" s="48">
        <v>4.944</v>
      </c>
      <c r="AI44" s="58">
        <v>1.6020000000000001</v>
      </c>
      <c r="AJ44" s="47"/>
      <c r="AK44" s="50">
        <f t="shared" si="9"/>
        <v>80.352612218561816</v>
      </c>
      <c r="AL44" s="42">
        <f t="shared" si="14"/>
        <v>1E-13</v>
      </c>
      <c r="AM44" s="41">
        <f t="shared" si="15"/>
        <v>0.01</v>
      </c>
      <c r="AN44" s="42">
        <f t="shared" si="16"/>
        <v>2.3334580622810048E-17</v>
      </c>
      <c r="AO44" s="41">
        <f t="shared" si="17"/>
        <v>80.537844119906651</v>
      </c>
      <c r="AP44" s="42">
        <f t="shared" si="18"/>
        <v>3.6728230049808357E-9</v>
      </c>
      <c r="AQ44" s="41">
        <f t="shared" si="19"/>
        <v>1E-3</v>
      </c>
      <c r="AR44" s="42">
        <f t="shared" si="20"/>
        <v>87.902251683088593</v>
      </c>
      <c r="AS44" s="41">
        <f t="shared" si="21"/>
        <v>1E-13</v>
      </c>
      <c r="AT44" s="42">
        <f t="shared" si="22"/>
        <v>2.0370420777056823E-22</v>
      </c>
      <c r="AU44" s="41">
        <f t="shared" si="23"/>
        <v>100</v>
      </c>
      <c r="AV44" s="42">
        <f t="shared" si="24"/>
        <v>1.7864875748520486E-8</v>
      </c>
      <c r="AW44" s="41">
        <f t="shared" si="25"/>
        <v>1E-13</v>
      </c>
      <c r="AX44" s="42">
        <f t="shared" si="26"/>
        <v>87.902251683088593</v>
      </c>
      <c r="AY44" s="52">
        <f t="shared" si="27"/>
        <v>3.9994474976109778E-2</v>
      </c>
      <c r="AZ44" s="41"/>
      <c r="BA44" s="59">
        <f t="shared" si="11"/>
        <v>100.74727524031019</v>
      </c>
      <c r="BB44" s="60">
        <f t="shared" si="12"/>
        <v>104.39931850496835</v>
      </c>
    </row>
    <row r="45" spans="2:57">
      <c r="B45" s="53">
        <v>545</v>
      </c>
      <c r="C45" s="54">
        <v>0.35970000000000002</v>
      </c>
      <c r="D45" s="54">
        <v>0.98029999999999995</v>
      </c>
      <c r="E45" s="55">
        <v>1.34E-2</v>
      </c>
      <c r="F45" s="54">
        <v>0.45158399999999999</v>
      </c>
      <c r="G45" s="55">
        <v>0.98219999999999996</v>
      </c>
      <c r="H45" s="54">
        <v>7.9179999999999997E-3</v>
      </c>
      <c r="I45" s="41">
        <f t="shared" si="7"/>
        <v>89.416150734997046</v>
      </c>
      <c r="J45" s="56">
        <v>99.16</v>
      </c>
      <c r="K45" s="57">
        <v>103.95</v>
      </c>
      <c r="L45" s="56">
        <f t="shared" si="38"/>
        <v>101.53031984604516</v>
      </c>
      <c r="M45" s="57">
        <v>100</v>
      </c>
      <c r="N45" s="57">
        <v>24.88</v>
      </c>
      <c r="O45" s="56">
        <v>29.52</v>
      </c>
      <c r="P45" s="57">
        <v>72.84</v>
      </c>
      <c r="Q45" s="42">
        <f t="shared" si="8"/>
        <v>99.35705803728824</v>
      </c>
      <c r="R45" s="57">
        <v>104.85</v>
      </c>
      <c r="S45" s="56">
        <v>3.05</v>
      </c>
      <c r="T45" s="57">
        <v>-0.4</v>
      </c>
      <c r="U45" s="80">
        <f>AVERAGE(U44,U46)</f>
        <v>4.931</v>
      </c>
      <c r="V45" s="48">
        <v>-10</v>
      </c>
      <c r="W45" s="47">
        <v>-10</v>
      </c>
      <c r="X45" s="48">
        <f t="shared" si="0"/>
        <v>-12.281999999999998</v>
      </c>
      <c r="Y45" s="47">
        <f t="shared" ref="Y45:AI45" si="42">AVERAGE(Y44,Y46)</f>
        <v>4.7750000000000004</v>
      </c>
      <c r="Z45" s="48">
        <f t="shared" si="37"/>
        <v>-6.1350000000000007</v>
      </c>
      <c r="AA45" s="47">
        <f t="shared" si="42"/>
        <v>0</v>
      </c>
      <c r="AB45" s="48">
        <f t="shared" si="42"/>
        <v>4.8819999999999997</v>
      </c>
      <c r="AC45" s="47">
        <v>-10</v>
      </c>
      <c r="AD45" s="48">
        <f t="shared" si="3"/>
        <v>-17.391000000000005</v>
      </c>
      <c r="AE45" s="47">
        <f t="shared" si="42"/>
        <v>4.9975000000000005</v>
      </c>
      <c r="AF45" s="48">
        <f t="shared" si="40"/>
        <v>-5.8480000000000008</v>
      </c>
      <c r="AG45" s="47">
        <v>-10</v>
      </c>
      <c r="AH45" s="48">
        <f t="shared" si="42"/>
        <v>4.8819999999999997</v>
      </c>
      <c r="AI45" s="58">
        <f t="shared" si="42"/>
        <v>0.80100000000000005</v>
      </c>
      <c r="AJ45" s="47"/>
      <c r="AK45" s="50">
        <f t="shared" si="9"/>
        <v>85.31001140175907</v>
      </c>
      <c r="AL45" s="42">
        <f t="shared" si="14"/>
        <v>1E-13</v>
      </c>
      <c r="AM45" s="41">
        <f t="shared" si="15"/>
        <v>1E-13</v>
      </c>
      <c r="AN45" s="42">
        <f t="shared" si="16"/>
        <v>5.2239618899912096E-16</v>
      </c>
      <c r="AO45" s="41">
        <f t="shared" si="17"/>
        <v>59.566214352901191</v>
      </c>
      <c r="AP45" s="42">
        <f t="shared" si="18"/>
        <v>7.3282453313890142E-10</v>
      </c>
      <c r="AQ45" s="41">
        <f t="shared" si="19"/>
        <v>1E-3</v>
      </c>
      <c r="AR45" s="42">
        <f t="shared" si="20"/>
        <v>76.207901002541277</v>
      </c>
      <c r="AS45" s="41">
        <f t="shared" si="21"/>
        <v>1E-13</v>
      </c>
      <c r="AT45" s="42">
        <f t="shared" si="22"/>
        <v>4.0644332916520629E-21</v>
      </c>
      <c r="AU45" s="41">
        <f t="shared" si="23"/>
        <v>99.426007395295869</v>
      </c>
      <c r="AV45" s="42">
        <f t="shared" si="24"/>
        <v>1.4190575216890877E-9</v>
      </c>
      <c r="AW45" s="41">
        <f t="shared" si="25"/>
        <v>1E-13</v>
      </c>
      <c r="AX45" s="42">
        <f t="shared" si="26"/>
        <v>76.207901002541277</v>
      </c>
      <c r="AY45" s="52">
        <f t="shared" si="27"/>
        <v>6.3241185137621969E-3</v>
      </c>
      <c r="AZ45" s="41"/>
      <c r="BA45" s="59">
        <f t="shared" si="11"/>
        <v>101.53031984604516</v>
      </c>
      <c r="BB45" s="60">
        <f t="shared" si="12"/>
        <v>104.22134209564412</v>
      </c>
    </row>
    <row r="46" spans="2:57">
      <c r="B46" s="53">
        <v>550</v>
      </c>
      <c r="C46" s="54">
        <v>0.4334499</v>
      </c>
      <c r="D46" s="54">
        <v>0.99495009999999995</v>
      </c>
      <c r="E46" s="55">
        <v>8.7499989999999996E-3</v>
      </c>
      <c r="F46" s="54">
        <v>0.52982600000000002</v>
      </c>
      <c r="G46" s="55">
        <v>0.991761</v>
      </c>
      <c r="H46" s="54">
        <v>3.9880000000000002E-3</v>
      </c>
      <c r="I46" s="41">
        <f t="shared" si="7"/>
        <v>92.91454328279498</v>
      </c>
      <c r="J46" s="56">
        <v>101</v>
      </c>
      <c r="K46" s="57">
        <v>105.2</v>
      </c>
      <c r="L46" s="56">
        <f t="shared" si="38"/>
        <v>102.31336445178015</v>
      </c>
      <c r="M46" s="57">
        <v>100</v>
      </c>
      <c r="N46" s="57">
        <v>16.64</v>
      </c>
      <c r="O46" s="56">
        <v>17.05</v>
      </c>
      <c r="P46" s="57">
        <v>32.61</v>
      </c>
      <c r="Q46" s="42">
        <f t="shared" si="8"/>
        <v>99.614610513830087</v>
      </c>
      <c r="R46" s="57">
        <v>104.4</v>
      </c>
      <c r="S46" s="56">
        <v>1.9</v>
      </c>
      <c r="T46" s="57">
        <v>-0.3</v>
      </c>
      <c r="U46" s="80">
        <v>4.9569999999999999</v>
      </c>
      <c r="V46" s="48">
        <v>-10</v>
      </c>
      <c r="W46" s="47">
        <v>-10</v>
      </c>
      <c r="X46" s="48">
        <f t="shared" si="0"/>
        <v>-10.931999999999999</v>
      </c>
      <c r="Y46" s="47">
        <v>4.6440000000000001</v>
      </c>
      <c r="Z46" s="48">
        <f t="shared" si="37"/>
        <v>-6.8350000000000009</v>
      </c>
      <c r="AA46" s="47">
        <v>0</v>
      </c>
      <c r="AB46" s="48">
        <v>4.82</v>
      </c>
      <c r="AC46" s="47">
        <v>-10</v>
      </c>
      <c r="AD46" s="48">
        <f t="shared" si="3"/>
        <v>-16.091000000000005</v>
      </c>
      <c r="AE46" s="47">
        <v>4.9950000000000001</v>
      </c>
      <c r="AF46" s="48">
        <f t="shared" si="40"/>
        <v>-6.9480000000000004</v>
      </c>
      <c r="AG46" s="47">
        <v>-10</v>
      </c>
      <c r="AH46" s="48">
        <v>4.82</v>
      </c>
      <c r="AI46" s="58">
        <v>0</v>
      </c>
      <c r="AJ46" s="47"/>
      <c r="AK46" s="50">
        <f t="shared" si="9"/>
        <v>90.573260089820039</v>
      </c>
      <c r="AL46" s="42">
        <f t="shared" si="14"/>
        <v>1E-13</v>
      </c>
      <c r="AM46" s="41">
        <f t="shared" si="15"/>
        <v>1E-13</v>
      </c>
      <c r="AN46" s="42">
        <f t="shared" si="16"/>
        <v>1.1694993910198708E-14</v>
      </c>
      <c r="AO46" s="41">
        <f t="shared" si="17"/>
        <v>44.055486350655379</v>
      </c>
      <c r="AP46" s="42">
        <f t="shared" si="18"/>
        <v>1.4621771744567122E-10</v>
      </c>
      <c r="AQ46" s="41">
        <f t="shared" si="19"/>
        <v>1E-3</v>
      </c>
      <c r="AR46" s="42">
        <f t="shared" si="20"/>
        <v>66.069344800759737</v>
      </c>
      <c r="AS46" s="41">
        <f t="shared" si="21"/>
        <v>1E-13</v>
      </c>
      <c r="AT46" s="42">
        <f t="shared" si="22"/>
        <v>8.1096105785382947E-20</v>
      </c>
      <c r="AU46" s="41">
        <f t="shared" si="23"/>
        <v>98.855309465694077</v>
      </c>
      <c r="AV46" s="42">
        <f t="shared" si="24"/>
        <v>1.1271974561755067E-10</v>
      </c>
      <c r="AW46" s="41">
        <f t="shared" si="25"/>
        <v>1E-13</v>
      </c>
      <c r="AX46" s="42">
        <f t="shared" si="26"/>
        <v>66.069344800759737</v>
      </c>
      <c r="AY46" s="52">
        <f t="shared" si="27"/>
        <v>1E-3</v>
      </c>
      <c r="AZ46" s="41"/>
      <c r="BA46" s="59">
        <f t="shared" si="11"/>
        <v>102.31336445178015</v>
      </c>
      <c r="BB46" s="60">
        <f t="shared" si="12"/>
        <v>104.04336568631993</v>
      </c>
    </row>
    <row r="47" spans="2:57">
      <c r="B47" s="53">
        <v>555</v>
      </c>
      <c r="C47" s="54">
        <v>0.51205009999999995</v>
      </c>
      <c r="D47" s="54">
        <v>1</v>
      </c>
      <c r="E47" s="55">
        <v>5.7499990000000004E-3</v>
      </c>
      <c r="F47" s="54">
        <v>0.61605299999999996</v>
      </c>
      <c r="G47" s="55">
        <v>0.99911000000000005</v>
      </c>
      <c r="H47" s="54">
        <v>1.091E-3</v>
      </c>
      <c r="I47" s="41">
        <f t="shared" si="7"/>
        <v>96.443635138824646</v>
      </c>
      <c r="J47" s="56">
        <v>102.2</v>
      </c>
      <c r="K47" s="57">
        <v>105.67</v>
      </c>
      <c r="L47" s="56">
        <f t="shared" si="38"/>
        <v>101.15668222589007</v>
      </c>
      <c r="M47" s="57">
        <v>100</v>
      </c>
      <c r="N47" s="57">
        <v>14.59</v>
      </c>
      <c r="O47" s="56">
        <v>12.44</v>
      </c>
      <c r="P47" s="57">
        <v>7.52</v>
      </c>
      <c r="Q47" s="42">
        <f t="shared" si="8"/>
        <v>99.82849249596407</v>
      </c>
      <c r="R47" s="57">
        <v>102.2</v>
      </c>
      <c r="S47" s="56">
        <v>0.95</v>
      </c>
      <c r="T47" s="57">
        <v>-0.15</v>
      </c>
      <c r="U47" s="80">
        <f>AVERAGE(U46,U48)</f>
        <v>4.9729999999999999</v>
      </c>
      <c r="V47" s="48">
        <v>-10</v>
      </c>
      <c r="W47" s="47">
        <v>-10</v>
      </c>
      <c r="X47" s="48">
        <f t="shared" si="0"/>
        <v>-9.581999999999999</v>
      </c>
      <c r="Y47" s="47">
        <f>AVERAGE(Y46,Y48)</f>
        <v>4.4325000000000001</v>
      </c>
      <c r="Z47" s="48">
        <f t="shared" si="37"/>
        <v>-7.535000000000001</v>
      </c>
      <c r="AA47" s="47">
        <f>AVERAGE(AA46,AA48)</f>
        <v>0.5</v>
      </c>
      <c r="AB47" s="48">
        <f>AVERAGE(AB46,AB48)</f>
        <v>4.7215000000000007</v>
      </c>
      <c r="AC47" s="47">
        <v>-10</v>
      </c>
      <c r="AD47" s="48">
        <f t="shared" si="3"/>
        <v>-14.791000000000004</v>
      </c>
      <c r="AE47" s="47">
        <f>AVERAGE(AE46,AE48)</f>
        <v>4.9064999999999994</v>
      </c>
      <c r="AF47" s="48">
        <f t="shared" si="40"/>
        <v>-8.048</v>
      </c>
      <c r="AG47" s="47">
        <v>-10</v>
      </c>
      <c r="AH47" s="48">
        <f>AVERAGE(AH46,AH48)</f>
        <v>4.7215000000000007</v>
      </c>
      <c r="AI47" s="58">
        <v>-10</v>
      </c>
      <c r="AJ47" s="47"/>
      <c r="AK47" s="50">
        <f t="shared" si="9"/>
        <v>93.972331056463858</v>
      </c>
      <c r="AL47" s="42">
        <f t="shared" si="14"/>
        <v>1E-13</v>
      </c>
      <c r="AM47" s="41">
        <f t="shared" si="15"/>
        <v>1E-13</v>
      </c>
      <c r="AN47" s="42">
        <f t="shared" si="16"/>
        <v>2.6181830082189887E-13</v>
      </c>
      <c r="AO47" s="41">
        <f t="shared" si="17"/>
        <v>27.070732039213624</v>
      </c>
      <c r="AP47" s="42">
        <f t="shared" si="18"/>
        <v>2.9174270140011593E-11</v>
      </c>
      <c r="AQ47" s="41">
        <f t="shared" si="19"/>
        <v>3.1622776601683794E-3</v>
      </c>
      <c r="AR47" s="42">
        <f t="shared" si="20"/>
        <v>52.662321489389853</v>
      </c>
      <c r="AS47" s="41">
        <f t="shared" si="21"/>
        <v>1E-13</v>
      </c>
      <c r="AT47" s="42">
        <f t="shared" si="22"/>
        <v>1.6180800376430461E-18</v>
      </c>
      <c r="AU47" s="41">
        <f t="shared" si="23"/>
        <v>80.630620135472796</v>
      </c>
      <c r="AV47" s="42">
        <f t="shared" si="24"/>
        <v>8.9536476554959085E-12</v>
      </c>
      <c r="AW47" s="41">
        <f t="shared" si="25"/>
        <v>1E-13</v>
      </c>
      <c r="AX47" s="42">
        <f t="shared" si="26"/>
        <v>52.662321489389853</v>
      </c>
      <c r="AY47" s="52">
        <f t="shared" si="27"/>
        <v>1E-13</v>
      </c>
      <c r="AZ47" s="41"/>
      <c r="BA47" s="59">
        <f t="shared" si="11"/>
        <v>101.15668222589007</v>
      </c>
      <c r="BB47" s="60">
        <f t="shared" si="12"/>
        <v>102.02168284315997</v>
      </c>
    </row>
    <row r="48" spans="2:57">
      <c r="B48" s="53">
        <v>560</v>
      </c>
      <c r="C48" s="54">
        <v>0.59450000000000003</v>
      </c>
      <c r="D48" s="54">
        <v>0.995</v>
      </c>
      <c r="E48" s="55">
        <v>3.8999999999999998E-3</v>
      </c>
      <c r="F48" s="54">
        <v>0.70522399999999996</v>
      </c>
      <c r="G48" s="55">
        <v>0.99734</v>
      </c>
      <c r="H48" s="54">
        <v>0</v>
      </c>
      <c r="I48" s="41">
        <f t="shared" si="7"/>
        <v>100</v>
      </c>
      <c r="J48" s="56">
        <v>102.8</v>
      </c>
      <c r="K48" s="57">
        <v>105.3</v>
      </c>
      <c r="L48" s="56">
        <f t="shared" si="38"/>
        <v>100</v>
      </c>
      <c r="M48" s="57">
        <v>100</v>
      </c>
      <c r="N48" s="57">
        <v>16.16</v>
      </c>
      <c r="O48" s="56">
        <v>12.58</v>
      </c>
      <c r="P48" s="57">
        <v>2.83</v>
      </c>
      <c r="Q48" s="42">
        <f t="shared" si="8"/>
        <v>100</v>
      </c>
      <c r="R48" s="57">
        <v>100</v>
      </c>
      <c r="S48" s="56">
        <v>0</v>
      </c>
      <c r="T48" s="57">
        <v>0</v>
      </c>
      <c r="U48" s="80">
        <v>4.9889999999999999</v>
      </c>
      <c r="V48" s="48">
        <v>-10</v>
      </c>
      <c r="W48" s="47">
        <v>-10</v>
      </c>
      <c r="X48" s="48">
        <f t="shared" si="0"/>
        <v>-8.2319999999999993</v>
      </c>
      <c r="Y48" s="47">
        <v>4.2210000000000001</v>
      </c>
      <c r="Z48" s="48">
        <f t="shared" si="37"/>
        <v>-8.2350000000000012</v>
      </c>
      <c r="AA48" s="47">
        <v>1</v>
      </c>
      <c r="AB48" s="48">
        <v>4.6230000000000002</v>
      </c>
      <c r="AC48" s="47">
        <v>-10</v>
      </c>
      <c r="AD48" s="48">
        <f t="shared" si="3"/>
        <v>-13.491000000000003</v>
      </c>
      <c r="AE48" s="47">
        <v>4.8179999999999996</v>
      </c>
      <c r="AF48" s="48">
        <f t="shared" si="40"/>
        <v>-9.1479999999999997</v>
      </c>
      <c r="AG48" s="47">
        <v>0</v>
      </c>
      <c r="AH48" s="48">
        <v>4.6230000000000002</v>
      </c>
      <c r="AI48" s="58">
        <v>-10</v>
      </c>
      <c r="AJ48" s="47"/>
      <c r="AK48" s="50">
        <f t="shared" si="9"/>
        <v>97.498963771738829</v>
      </c>
      <c r="AL48" s="42">
        <f t="shared" si="14"/>
        <v>1E-13</v>
      </c>
      <c r="AM48" s="41">
        <f t="shared" si="15"/>
        <v>1E-13</v>
      </c>
      <c r="AN48" s="42">
        <f t="shared" si="16"/>
        <v>5.8613816451402824E-12</v>
      </c>
      <c r="AO48" s="41">
        <f t="shared" si="17"/>
        <v>16.634126503701715</v>
      </c>
      <c r="AP48" s="42">
        <f t="shared" si="18"/>
        <v>5.8210321777086961E-12</v>
      </c>
      <c r="AQ48" s="41">
        <f t="shared" si="19"/>
        <v>0.01</v>
      </c>
      <c r="AR48" s="42">
        <f t="shared" si="20"/>
        <v>41.975898399100849</v>
      </c>
      <c r="AS48" s="41">
        <f t="shared" si="21"/>
        <v>1E-13</v>
      </c>
      <c r="AT48" s="42">
        <f t="shared" si="22"/>
        <v>3.2284941217126023E-17</v>
      </c>
      <c r="AU48" s="41">
        <f t="shared" si="23"/>
        <v>65.765783735542072</v>
      </c>
      <c r="AV48" s="42">
        <f t="shared" si="24"/>
        <v>7.1121351365332905E-13</v>
      </c>
      <c r="AW48" s="41">
        <f t="shared" si="25"/>
        <v>1E-3</v>
      </c>
      <c r="AX48" s="42">
        <f t="shared" si="26"/>
        <v>41.975898399100849</v>
      </c>
      <c r="AY48" s="52">
        <f t="shared" si="27"/>
        <v>1E-13</v>
      </c>
      <c r="AZ48" s="41"/>
      <c r="BA48" s="59">
        <f t="shared" si="11"/>
        <v>100</v>
      </c>
      <c r="BB48" s="60">
        <f t="shared" si="12"/>
        <v>100</v>
      </c>
    </row>
    <row r="49" spans="2:54">
      <c r="B49" s="53">
        <v>565</v>
      </c>
      <c r="C49" s="54">
        <v>0.6784</v>
      </c>
      <c r="D49" s="54">
        <v>0.97860000000000003</v>
      </c>
      <c r="E49" s="55">
        <v>2.7499989999999999E-3</v>
      </c>
      <c r="F49" s="54">
        <v>0.79383199999999998</v>
      </c>
      <c r="G49" s="55">
        <v>0.98238000000000003</v>
      </c>
      <c r="H49" s="54">
        <v>0</v>
      </c>
      <c r="I49" s="41">
        <f t="shared" si="7"/>
        <v>103.58022502599965</v>
      </c>
      <c r="J49" s="56">
        <v>102.92</v>
      </c>
      <c r="K49" s="57">
        <v>104.11</v>
      </c>
      <c r="L49" s="56">
        <f t="shared" si="38"/>
        <v>98.868932093383506</v>
      </c>
      <c r="M49" s="57">
        <v>100</v>
      </c>
      <c r="N49" s="57">
        <v>17.600000000000001</v>
      </c>
      <c r="O49" s="56">
        <v>12.72</v>
      </c>
      <c r="P49" s="57">
        <v>1.96</v>
      </c>
      <c r="Q49" s="42">
        <f t="shared" si="8"/>
        <v>100.13043249604891</v>
      </c>
      <c r="R49" s="57">
        <v>98</v>
      </c>
      <c r="S49" s="56">
        <v>-0.8</v>
      </c>
      <c r="T49" s="57">
        <v>0.1</v>
      </c>
      <c r="U49" s="80">
        <f>AVERAGE(U48,U50)</f>
        <v>4.9945000000000004</v>
      </c>
      <c r="V49" s="48">
        <v>-10</v>
      </c>
      <c r="W49" s="47">
        <v>-10</v>
      </c>
      <c r="X49" s="48">
        <f t="shared" si="0"/>
        <v>-6.8819999999999997</v>
      </c>
      <c r="Y49" s="47">
        <f t="shared" ref="Y49:AH49" si="43">AVERAGE(Y48,Y50)</f>
        <v>3.915</v>
      </c>
      <c r="Z49" s="48">
        <f t="shared" si="37"/>
        <v>-8.9350000000000005</v>
      </c>
      <c r="AA49" s="47">
        <f t="shared" si="43"/>
        <v>1.389</v>
      </c>
      <c r="AB49" s="48">
        <f t="shared" si="43"/>
        <v>4.4824999999999999</v>
      </c>
      <c r="AC49" s="47">
        <v>-10</v>
      </c>
      <c r="AD49" s="48">
        <f t="shared" si="3"/>
        <v>-12.191000000000003</v>
      </c>
      <c r="AE49" s="47">
        <f t="shared" si="43"/>
        <v>4.6379999999999999</v>
      </c>
      <c r="AF49" s="48">
        <f t="shared" si="40"/>
        <v>-10.247999999999999</v>
      </c>
      <c r="AG49" s="47">
        <f t="shared" si="43"/>
        <v>0.88900000000000001</v>
      </c>
      <c r="AH49" s="48">
        <f t="shared" si="43"/>
        <v>4.4824999999999999</v>
      </c>
      <c r="AI49" s="58">
        <v>-10</v>
      </c>
      <c r="AJ49" s="47"/>
      <c r="AK49" s="50">
        <f t="shared" si="9"/>
        <v>98.741563574686737</v>
      </c>
      <c r="AL49" s="42">
        <f t="shared" si="14"/>
        <v>1E-13</v>
      </c>
      <c r="AM49" s="41">
        <f t="shared" si="15"/>
        <v>1E-13</v>
      </c>
      <c r="AN49" s="42">
        <f t="shared" si="16"/>
        <v>1.3121998990192013E-10</v>
      </c>
      <c r="AO49" s="41">
        <f t="shared" si="17"/>
        <v>8.2224264994707248</v>
      </c>
      <c r="AP49" s="42">
        <f t="shared" si="18"/>
        <v>1.1614486138403388E-12</v>
      </c>
      <c r="AQ49" s="41">
        <f t="shared" si="19"/>
        <v>2.4490632418447462E-2</v>
      </c>
      <c r="AR49" s="42">
        <f t="shared" si="20"/>
        <v>30.373860919461098</v>
      </c>
      <c r="AS49" s="41">
        <f t="shared" si="21"/>
        <v>1E-13</v>
      </c>
      <c r="AT49" s="42">
        <f t="shared" si="22"/>
        <v>6.4416926551517174E-16</v>
      </c>
      <c r="AU49" s="41">
        <f t="shared" si="23"/>
        <v>43.451022417157176</v>
      </c>
      <c r="AV49" s="42">
        <f t="shared" si="24"/>
        <v>5.6493697481230248E-14</v>
      </c>
      <c r="AW49" s="41">
        <f t="shared" si="25"/>
        <v>7.7446179780251891E-3</v>
      </c>
      <c r="AX49" s="42">
        <f t="shared" si="26"/>
        <v>30.373860919461098</v>
      </c>
      <c r="AY49" s="52">
        <f t="shared" si="27"/>
        <v>1E-13</v>
      </c>
      <c r="AZ49" s="41"/>
      <c r="BA49" s="59">
        <f t="shared" si="11"/>
        <v>98.868932093383506</v>
      </c>
      <c r="BB49" s="60">
        <f t="shared" si="12"/>
        <v>98.168279874274788</v>
      </c>
    </row>
    <row r="50" spans="2:54">
      <c r="B50" s="53">
        <v>570</v>
      </c>
      <c r="C50" s="54">
        <v>0.7621</v>
      </c>
      <c r="D50" s="54">
        <v>0.95199999999999996</v>
      </c>
      <c r="E50" s="55">
        <v>2.0999999999999999E-3</v>
      </c>
      <c r="F50" s="54">
        <v>0.87865499999999996</v>
      </c>
      <c r="G50" s="55">
        <v>0.95555199999999996</v>
      </c>
      <c r="H50" s="54">
        <v>0</v>
      </c>
      <c r="I50" s="41">
        <f t="shared" si="7"/>
        <v>107.18091902662721</v>
      </c>
      <c r="J50" s="56">
        <v>102.6</v>
      </c>
      <c r="K50" s="57">
        <v>102.3</v>
      </c>
      <c r="L50" s="56">
        <f t="shared" si="38"/>
        <v>97.737864186767013</v>
      </c>
      <c r="M50" s="57">
        <v>100</v>
      </c>
      <c r="N50" s="57">
        <v>18.62</v>
      </c>
      <c r="O50" s="56">
        <v>12.83</v>
      </c>
      <c r="P50" s="57">
        <v>1.67</v>
      </c>
      <c r="Q50" s="42">
        <f t="shared" si="8"/>
        <v>100.22108940595362</v>
      </c>
      <c r="R50" s="57">
        <v>96</v>
      </c>
      <c r="S50" s="56">
        <v>-1.6</v>
      </c>
      <c r="T50" s="57">
        <v>0.2</v>
      </c>
      <c r="U50" s="80">
        <v>5</v>
      </c>
      <c r="V50" s="48">
        <v>-10</v>
      </c>
      <c r="W50" s="47">
        <v>-10</v>
      </c>
      <c r="X50" s="48">
        <f t="shared" si="0"/>
        <v>-5.532</v>
      </c>
      <c r="Y50" s="47">
        <v>3.609</v>
      </c>
      <c r="Z50" s="48">
        <f t="shared" si="37"/>
        <v>-9.6349999999999998</v>
      </c>
      <c r="AA50" s="47">
        <v>1.778</v>
      </c>
      <c r="AB50" s="48">
        <v>4.3419999999999996</v>
      </c>
      <c r="AC50" s="47">
        <v>-10</v>
      </c>
      <c r="AD50" s="48">
        <f t="shared" si="3"/>
        <v>-10.891000000000002</v>
      </c>
      <c r="AE50" s="47">
        <v>4.4580000000000002</v>
      </c>
      <c r="AF50" s="48">
        <f t="shared" si="40"/>
        <v>-11.347999999999999</v>
      </c>
      <c r="AG50" s="47">
        <v>1.778</v>
      </c>
      <c r="AH50" s="48">
        <v>4.3419999999999996</v>
      </c>
      <c r="AI50" s="58">
        <v>-10</v>
      </c>
      <c r="AJ50" s="47"/>
      <c r="AK50" s="50">
        <f t="shared" si="9"/>
        <v>100</v>
      </c>
      <c r="AL50" s="42">
        <f t="shared" si="14"/>
        <v>1E-13</v>
      </c>
      <c r="AM50" s="41">
        <f t="shared" si="15"/>
        <v>1E-13</v>
      </c>
      <c r="AN50" s="42">
        <f t="shared" si="16"/>
        <v>2.9376496519615252E-9</v>
      </c>
      <c r="AO50" s="41">
        <f t="shared" si="17"/>
        <v>4.0644332916521293</v>
      </c>
      <c r="AP50" s="42">
        <f t="shared" si="18"/>
        <v>2.3173946499684778E-13</v>
      </c>
      <c r="AQ50" s="41">
        <f t="shared" si="19"/>
        <v>5.9979107625550955E-2</v>
      </c>
      <c r="AR50" s="42">
        <f t="shared" si="20"/>
        <v>21.978598727848269</v>
      </c>
      <c r="AS50" s="41">
        <f t="shared" si="21"/>
        <v>1E-13</v>
      </c>
      <c r="AT50" s="42">
        <f t="shared" si="22"/>
        <v>1.2852866599436069E-14</v>
      </c>
      <c r="AU50" s="41">
        <f t="shared" si="23"/>
        <v>28.707805820246968</v>
      </c>
      <c r="AV50" s="42">
        <f t="shared" si="24"/>
        <v>4.4874538993313205E-15</v>
      </c>
      <c r="AW50" s="41">
        <f t="shared" si="25"/>
        <v>5.9979107625550955E-2</v>
      </c>
      <c r="AX50" s="42">
        <f t="shared" si="26"/>
        <v>21.978598727848269</v>
      </c>
      <c r="AY50" s="52">
        <f t="shared" si="27"/>
        <v>1E-13</v>
      </c>
      <c r="AZ50" s="41"/>
      <c r="BA50" s="59">
        <f t="shared" si="11"/>
        <v>97.737864186767013</v>
      </c>
      <c r="BB50" s="60">
        <f t="shared" si="12"/>
        <v>96.336559748549575</v>
      </c>
    </row>
    <row r="51" spans="2:54">
      <c r="B51" s="53">
        <v>575</v>
      </c>
      <c r="C51" s="54">
        <v>0.84250000000000003</v>
      </c>
      <c r="D51" s="54">
        <v>0.91539999999999999</v>
      </c>
      <c r="E51" s="55">
        <v>1.8E-3</v>
      </c>
      <c r="F51" s="54">
        <v>0.95116199999999995</v>
      </c>
      <c r="G51" s="55">
        <v>0.91517499999999996</v>
      </c>
      <c r="H51" s="54">
        <v>0</v>
      </c>
      <c r="I51" s="41">
        <f t="shared" si="7"/>
        <v>110.7987201459493</v>
      </c>
      <c r="J51" s="56">
        <v>101.9</v>
      </c>
      <c r="K51" s="57">
        <v>100.15</v>
      </c>
      <c r="L51" s="56">
        <f t="shared" si="38"/>
        <v>98.331181960876947</v>
      </c>
      <c r="M51" s="57">
        <v>100</v>
      </c>
      <c r="N51" s="57">
        <v>21.47</v>
      </c>
      <c r="O51" s="56">
        <v>15.46</v>
      </c>
      <c r="P51" s="57">
        <v>4.43</v>
      </c>
      <c r="Q51" s="42">
        <f t="shared" si="8"/>
        <v>100.27326689938241</v>
      </c>
      <c r="R51" s="57">
        <v>95.55</v>
      </c>
      <c r="S51" s="56">
        <v>-2.5499999999999998</v>
      </c>
      <c r="T51" s="57">
        <v>0.35</v>
      </c>
      <c r="U51" s="80">
        <f>AVERAGE(U50,U52)</f>
        <v>4.9945000000000004</v>
      </c>
      <c r="V51" s="48">
        <v>-10</v>
      </c>
      <c r="W51" s="47">
        <v>-10</v>
      </c>
      <c r="X51" s="48">
        <f t="shared" si="0"/>
        <v>-4.1820000000000004</v>
      </c>
      <c r="Y51" s="47">
        <f t="shared" ref="Y51:AH51" si="44">AVERAGE(Y50,Y52)</f>
        <v>3.1875</v>
      </c>
      <c r="Z51" s="48">
        <f t="shared" si="37"/>
        <v>-10.334999999999999</v>
      </c>
      <c r="AA51" s="47">
        <f t="shared" si="44"/>
        <v>2.2155</v>
      </c>
      <c r="AB51" s="48">
        <f t="shared" si="44"/>
        <v>4.1479999999999997</v>
      </c>
      <c r="AC51" s="47">
        <v>-10</v>
      </c>
      <c r="AD51" s="48">
        <f t="shared" si="3"/>
        <v>-9.5910000000000011</v>
      </c>
      <c r="AE51" s="47">
        <f t="shared" si="44"/>
        <v>4.1865000000000006</v>
      </c>
      <c r="AF51" s="48">
        <f t="shared" si="40"/>
        <v>-12.447999999999999</v>
      </c>
      <c r="AG51" s="47">
        <f t="shared" si="44"/>
        <v>2.2155</v>
      </c>
      <c r="AH51" s="48">
        <f t="shared" si="44"/>
        <v>4.1479999999999997</v>
      </c>
      <c r="AI51" s="58">
        <v>-10</v>
      </c>
      <c r="AJ51" s="47"/>
      <c r="AK51" s="50">
        <f t="shared" si="9"/>
        <v>98.741563574686737</v>
      </c>
      <c r="AL51" s="42">
        <f t="shared" si="14"/>
        <v>1E-13</v>
      </c>
      <c r="AM51" s="41">
        <f t="shared" si="15"/>
        <v>1E-13</v>
      </c>
      <c r="AN51" s="42">
        <f t="shared" si="16"/>
        <v>6.5765783735541893E-8</v>
      </c>
      <c r="AO51" s="41">
        <f t="shared" si="17"/>
        <v>1.539926526059493</v>
      </c>
      <c r="AP51" s="42">
        <f t="shared" si="18"/>
        <v>4.6238102139925997E-14</v>
      </c>
      <c r="AQ51" s="41">
        <f t="shared" si="19"/>
        <v>0.16424796596746405</v>
      </c>
      <c r="AR51" s="42">
        <f t="shared" si="20"/>
        <v>14.060475241299137</v>
      </c>
      <c r="AS51" s="41">
        <f t="shared" si="21"/>
        <v>1E-13</v>
      </c>
      <c r="AT51" s="42">
        <f t="shared" si="22"/>
        <v>2.5644840365177043E-13</v>
      </c>
      <c r="AU51" s="41">
        <f t="shared" si="23"/>
        <v>15.363847933316009</v>
      </c>
      <c r="AV51" s="42">
        <f t="shared" si="24"/>
        <v>3.5645113342624409E-16</v>
      </c>
      <c r="AW51" s="41">
        <f t="shared" si="25"/>
        <v>0.16424796596746405</v>
      </c>
      <c r="AX51" s="42">
        <f t="shared" si="26"/>
        <v>14.060475241299137</v>
      </c>
      <c r="AY51" s="52">
        <f t="shared" si="27"/>
        <v>1E-13</v>
      </c>
      <c r="AZ51" s="41"/>
      <c r="BA51" s="59">
        <f t="shared" si="11"/>
        <v>98.331181960876947</v>
      </c>
      <c r="BB51" s="60">
        <f t="shared" si="12"/>
        <v>96.06487690538961</v>
      </c>
    </row>
    <row r="52" spans="2:54">
      <c r="B52" s="53">
        <v>580</v>
      </c>
      <c r="C52" s="54">
        <v>0.9163</v>
      </c>
      <c r="D52" s="54">
        <v>0.87</v>
      </c>
      <c r="E52" s="55">
        <v>1.6500009999999999E-3</v>
      </c>
      <c r="F52" s="54">
        <v>1.01416</v>
      </c>
      <c r="G52" s="55">
        <v>0.86893399999999998</v>
      </c>
      <c r="H52" s="54">
        <v>0</v>
      </c>
      <c r="I52" s="41">
        <f t="shared" si="7"/>
        <v>114.43030304266115</v>
      </c>
      <c r="J52" s="56">
        <v>101</v>
      </c>
      <c r="K52" s="57">
        <v>97.8</v>
      </c>
      <c r="L52" s="56">
        <f t="shared" si="38"/>
        <v>98.924499734986881</v>
      </c>
      <c r="M52" s="57">
        <v>100</v>
      </c>
      <c r="N52" s="57">
        <v>22.79</v>
      </c>
      <c r="O52" s="56">
        <v>16.75</v>
      </c>
      <c r="P52" s="57">
        <v>11.28</v>
      </c>
      <c r="Q52" s="42">
        <f t="shared" si="8"/>
        <v>100.2882549726011</v>
      </c>
      <c r="R52" s="57">
        <v>95.1</v>
      </c>
      <c r="S52" s="56">
        <v>-3.5</v>
      </c>
      <c r="T52" s="57">
        <v>0.5</v>
      </c>
      <c r="U52" s="80">
        <v>4.9889999999999999</v>
      </c>
      <c r="V52" s="48">
        <v>-10</v>
      </c>
      <c r="W52" s="47">
        <v>-10</v>
      </c>
      <c r="X52" s="48">
        <f t="shared" si="0"/>
        <v>-2.8320000000000003</v>
      </c>
      <c r="Y52" s="47">
        <v>2.766</v>
      </c>
      <c r="Z52" s="48">
        <f t="shared" si="37"/>
        <v>-11.034999999999998</v>
      </c>
      <c r="AA52" s="47">
        <v>2.653</v>
      </c>
      <c r="AB52" s="48">
        <v>3.9540000000000002</v>
      </c>
      <c r="AC52" s="47">
        <v>-10</v>
      </c>
      <c r="AD52" s="48">
        <f t="shared" si="3"/>
        <v>-8.2910000000000004</v>
      </c>
      <c r="AE52" s="47">
        <v>3.915</v>
      </c>
      <c r="AF52" s="48">
        <f t="shared" si="40"/>
        <v>-13.547999999999998</v>
      </c>
      <c r="AG52" s="47">
        <v>2.653</v>
      </c>
      <c r="AH52" s="48">
        <v>3.9540000000000002</v>
      </c>
      <c r="AI52" s="58">
        <v>-10</v>
      </c>
      <c r="AJ52" s="47"/>
      <c r="AK52" s="50">
        <f t="shared" si="9"/>
        <v>97.498963771738829</v>
      </c>
      <c r="AL52" s="42">
        <f t="shared" si="14"/>
        <v>1E-13</v>
      </c>
      <c r="AM52" s="41">
        <f t="shared" si="15"/>
        <v>1E-13</v>
      </c>
      <c r="AN52" s="42">
        <f t="shared" si="16"/>
        <v>1.4723125024327173E-6</v>
      </c>
      <c r="AO52" s="41">
        <f t="shared" si="17"/>
        <v>0.5834451042737453</v>
      </c>
      <c r="AP52" s="42">
        <f t="shared" si="18"/>
        <v>9.2257142715476542E-15</v>
      </c>
      <c r="AQ52" s="41">
        <f t="shared" si="19"/>
        <v>0.44977985489328831</v>
      </c>
      <c r="AR52" s="42">
        <f t="shared" si="20"/>
        <v>8.9949758153003572</v>
      </c>
      <c r="AS52" s="41">
        <f t="shared" si="21"/>
        <v>1E-13</v>
      </c>
      <c r="AT52" s="42">
        <f t="shared" si="22"/>
        <v>5.1168183554030608E-12</v>
      </c>
      <c r="AU52" s="41">
        <f t="shared" si="23"/>
        <v>8.2224264994707248</v>
      </c>
      <c r="AV52" s="42">
        <f t="shared" si="24"/>
        <v>2.8313919957993774E-17</v>
      </c>
      <c r="AW52" s="41">
        <f t="shared" si="25"/>
        <v>0.44977985489328831</v>
      </c>
      <c r="AX52" s="42">
        <f t="shared" si="26"/>
        <v>8.9949758153003572</v>
      </c>
      <c r="AY52" s="52">
        <f t="shared" si="27"/>
        <v>1E-13</v>
      </c>
      <c r="AZ52" s="41"/>
      <c r="BA52" s="59">
        <f t="shared" si="11"/>
        <v>98.924499734986881</v>
      </c>
      <c r="BB52" s="60">
        <f t="shared" si="12"/>
        <v>95.793194062229645</v>
      </c>
    </row>
    <row r="53" spans="2:54">
      <c r="B53" s="53">
        <v>585</v>
      </c>
      <c r="C53" s="54">
        <v>0.97860000000000003</v>
      </c>
      <c r="D53" s="54">
        <v>0.81630000000000003</v>
      </c>
      <c r="E53" s="55">
        <v>1.4E-3</v>
      </c>
      <c r="F53" s="54">
        <v>1.0743</v>
      </c>
      <c r="G53" s="55">
        <v>0.825623</v>
      </c>
      <c r="H53" s="54">
        <v>0</v>
      </c>
      <c r="I53" s="41">
        <f t="shared" si="7"/>
        <v>118.07238556906682</v>
      </c>
      <c r="J53" s="56">
        <v>100.07</v>
      </c>
      <c r="K53" s="57">
        <v>95.43</v>
      </c>
      <c r="L53" s="56">
        <f t="shared" si="38"/>
        <v>96.217899113342412</v>
      </c>
      <c r="M53" s="57">
        <v>100</v>
      </c>
      <c r="N53" s="57">
        <v>19.29</v>
      </c>
      <c r="O53" s="56">
        <v>12.83</v>
      </c>
      <c r="P53" s="57">
        <v>14.76</v>
      </c>
      <c r="Q53" s="42">
        <f t="shared" si="8"/>
        <v>100.26733479462548</v>
      </c>
      <c r="R53" s="57">
        <v>92.1</v>
      </c>
      <c r="S53" s="56">
        <v>-3.5</v>
      </c>
      <c r="T53" s="57">
        <v>1.3</v>
      </c>
      <c r="U53" s="80">
        <f>AVERAGE(U52,U54)</f>
        <v>4.9725000000000001</v>
      </c>
      <c r="V53" s="48">
        <v>-10</v>
      </c>
      <c r="W53" s="47">
        <v>-10</v>
      </c>
      <c r="X53" s="48">
        <f t="shared" si="0"/>
        <v>-1.4820000000000002</v>
      </c>
      <c r="Y53" s="47">
        <f t="shared" ref="Y53:AH53" si="45">AVERAGE(Y52,Y54)</f>
        <v>2.1724999999999999</v>
      </c>
      <c r="Z53" s="48">
        <f t="shared" si="37"/>
        <v>-11.734999999999998</v>
      </c>
      <c r="AA53" s="47">
        <f t="shared" si="45"/>
        <v>3.5650000000000004</v>
      </c>
      <c r="AB53" s="48">
        <f t="shared" si="45"/>
        <v>3.6760000000000002</v>
      </c>
      <c r="AC53" s="47">
        <v>-10</v>
      </c>
      <c r="AD53" s="48">
        <f t="shared" si="3"/>
        <v>-6.9909999999999997</v>
      </c>
      <c r="AE53" s="47">
        <f t="shared" si="45"/>
        <v>3.5434999999999999</v>
      </c>
      <c r="AF53" s="48">
        <f t="shared" si="40"/>
        <v>-14.647999999999998</v>
      </c>
      <c r="AG53" s="47">
        <f t="shared" si="45"/>
        <v>3.5650000000000004</v>
      </c>
      <c r="AH53" s="48">
        <f t="shared" si="45"/>
        <v>3.6760000000000002</v>
      </c>
      <c r="AI53" s="58">
        <v>-10</v>
      </c>
      <c r="AJ53" s="47"/>
      <c r="AK53" s="50">
        <f t="shared" si="9"/>
        <v>93.864203667213729</v>
      </c>
      <c r="AL53" s="42">
        <f t="shared" si="14"/>
        <v>1E-13</v>
      </c>
      <c r="AM53" s="41">
        <f t="shared" si="15"/>
        <v>1E-13</v>
      </c>
      <c r="AN53" s="42">
        <f t="shared" si="16"/>
        <v>3.2960971217745756E-5</v>
      </c>
      <c r="AO53" s="41">
        <f t="shared" si="17"/>
        <v>0.14876473740795029</v>
      </c>
      <c r="AP53" s="42">
        <f t="shared" si="18"/>
        <v>1.8407720014689597E-15</v>
      </c>
      <c r="AQ53" s="41">
        <f t="shared" si="19"/>
        <v>3.6728230049808523</v>
      </c>
      <c r="AR53" s="42">
        <f t="shared" si="20"/>
        <v>4.7424198526024517</v>
      </c>
      <c r="AS53" s="41">
        <f t="shared" si="21"/>
        <v>1E-13</v>
      </c>
      <c r="AT53" s="42">
        <f t="shared" si="22"/>
        <v>1.0209394837076785E-10</v>
      </c>
      <c r="AU53" s="41">
        <f t="shared" si="23"/>
        <v>3.4954250959859992</v>
      </c>
      <c r="AV53" s="42">
        <f t="shared" si="24"/>
        <v>2.2490546058357793E-18</v>
      </c>
      <c r="AW53" s="41">
        <f t="shared" si="25"/>
        <v>3.6728230049808523</v>
      </c>
      <c r="AX53" s="42">
        <f t="shared" si="26"/>
        <v>4.7424198526024517</v>
      </c>
      <c r="AY53" s="52">
        <f t="shared" si="27"/>
        <v>1E-13</v>
      </c>
      <c r="AZ53" s="41"/>
      <c r="BA53" s="59">
        <f t="shared" si="11"/>
        <v>96.217899113342412</v>
      </c>
      <c r="BB53" s="60">
        <f t="shared" si="12"/>
        <v>92.242405099381102</v>
      </c>
    </row>
    <row r="54" spans="2:54">
      <c r="B54" s="53">
        <v>590</v>
      </c>
      <c r="C54" s="54">
        <v>1.0263</v>
      </c>
      <c r="D54" s="54">
        <v>0.75700000000000001</v>
      </c>
      <c r="E54" s="55">
        <v>1.1000000000000001E-3</v>
      </c>
      <c r="F54" s="54">
        <v>1.11852</v>
      </c>
      <c r="G54" s="55">
        <v>0.77740500000000001</v>
      </c>
      <c r="H54" s="54">
        <v>0</v>
      </c>
      <c r="I54" s="41">
        <f t="shared" si="7"/>
        <v>121.72173495371513</v>
      </c>
      <c r="J54" s="56">
        <v>99.2</v>
      </c>
      <c r="K54" s="57">
        <v>93.2</v>
      </c>
      <c r="L54" s="56">
        <f t="shared" si="38"/>
        <v>93.511298491697943</v>
      </c>
      <c r="M54" s="57">
        <v>100</v>
      </c>
      <c r="N54" s="57">
        <v>18.66</v>
      </c>
      <c r="O54" s="56">
        <v>12.67</v>
      </c>
      <c r="P54" s="57">
        <v>12.73</v>
      </c>
      <c r="Q54" s="42">
        <f t="shared" si="8"/>
        <v>100.2117763057049</v>
      </c>
      <c r="R54" s="57">
        <v>89.1</v>
      </c>
      <c r="S54" s="56">
        <v>-3.5</v>
      </c>
      <c r="T54" s="57">
        <v>2.1</v>
      </c>
      <c r="U54" s="80">
        <v>4.9560000000000004</v>
      </c>
      <c r="V54" s="48">
        <v>-10</v>
      </c>
      <c r="W54" s="47">
        <v>-10</v>
      </c>
      <c r="X54" s="48">
        <f>X55-1.35</f>
        <v>-0.13200000000000012</v>
      </c>
      <c r="Y54" s="47">
        <v>1.579</v>
      </c>
      <c r="Z54" s="48">
        <f t="shared" si="37"/>
        <v>-12.434999999999997</v>
      </c>
      <c r="AA54" s="47">
        <v>4.4770000000000003</v>
      </c>
      <c r="AB54" s="48">
        <v>3.3980000000000001</v>
      </c>
      <c r="AC54" s="47">
        <v>-10</v>
      </c>
      <c r="AD54" s="48">
        <f t="shared" si="3"/>
        <v>-5.6909999999999998</v>
      </c>
      <c r="AE54" s="47">
        <v>3.1720000000000002</v>
      </c>
      <c r="AF54" s="48">
        <f t="shared" si="40"/>
        <v>-15.747999999999998</v>
      </c>
      <c r="AG54" s="47">
        <v>4.4770000000000003</v>
      </c>
      <c r="AH54" s="48">
        <v>3.3980000000000001</v>
      </c>
      <c r="AI54" s="58">
        <v>-10</v>
      </c>
      <c r="AJ54" s="47"/>
      <c r="AK54" s="50">
        <f t="shared" si="9"/>
        <v>90.364947372230262</v>
      </c>
      <c r="AL54" s="42">
        <f t="shared" si="14"/>
        <v>1E-13</v>
      </c>
      <c r="AM54" s="41">
        <f t="shared" si="15"/>
        <v>1E-13</v>
      </c>
      <c r="AN54" s="42">
        <f t="shared" si="16"/>
        <v>7.3790423012910073E-4</v>
      </c>
      <c r="AO54" s="41">
        <f t="shared" si="17"/>
        <v>3.7931498497368203E-2</v>
      </c>
      <c r="AP54" s="42">
        <f t="shared" si="18"/>
        <v>3.6728230049808658E-16</v>
      </c>
      <c r="AQ54" s="41">
        <f t="shared" si="19"/>
        <v>29.991625189876547</v>
      </c>
      <c r="AR54" s="42">
        <f t="shared" si="20"/>
        <v>2.5003453616964335</v>
      </c>
      <c r="AS54" s="41">
        <f t="shared" si="21"/>
        <v>1E-13</v>
      </c>
      <c r="AT54" s="42">
        <f t="shared" si="22"/>
        <v>2.0370420777057153E-9</v>
      </c>
      <c r="AU54" s="41">
        <f t="shared" si="23"/>
        <v>1.4859356422870089</v>
      </c>
      <c r="AV54" s="42">
        <f t="shared" si="24"/>
        <v>1.7864875748520554E-19</v>
      </c>
      <c r="AW54" s="41">
        <f t="shared" si="25"/>
        <v>29.991625189876547</v>
      </c>
      <c r="AX54" s="42">
        <f t="shared" si="26"/>
        <v>2.5003453616964335</v>
      </c>
      <c r="AY54" s="52">
        <f t="shared" si="27"/>
        <v>1E-13</v>
      </c>
      <c r="AZ54" s="41"/>
      <c r="BA54" s="59">
        <f t="shared" si="11"/>
        <v>93.511298491697943</v>
      </c>
      <c r="BB54" s="60">
        <f t="shared" si="12"/>
        <v>88.691616136532545</v>
      </c>
    </row>
    <row r="55" spans="2:54">
      <c r="B55" s="65">
        <v>595</v>
      </c>
      <c r="C55" s="66">
        <v>1.0567</v>
      </c>
      <c r="D55" s="66">
        <v>0.69489999999999996</v>
      </c>
      <c r="E55" s="67">
        <v>1E-3</v>
      </c>
      <c r="F55" s="66">
        <v>1.1343000000000001</v>
      </c>
      <c r="G55" s="67">
        <v>0.72035300000000002</v>
      </c>
      <c r="H55" s="66">
        <v>0</v>
      </c>
      <c r="I55" s="68">
        <f t="shared" si="7"/>
        <v>125.37517349506145</v>
      </c>
      <c r="J55" s="69">
        <v>98.44</v>
      </c>
      <c r="K55" s="70">
        <v>91.22</v>
      </c>
      <c r="L55" s="69">
        <f t="shared" si="38"/>
        <v>95.609380247757898</v>
      </c>
      <c r="M55" s="70">
        <v>100</v>
      </c>
      <c r="N55" s="70">
        <v>17.73</v>
      </c>
      <c r="O55" s="69">
        <v>12.45</v>
      </c>
      <c r="P55" s="70">
        <v>9.74</v>
      </c>
      <c r="Q55" s="68">
        <f t="shared" si="8"/>
        <v>100.12283605342594</v>
      </c>
      <c r="R55" s="70">
        <v>89.8</v>
      </c>
      <c r="S55" s="69">
        <v>-4.6500000000000004</v>
      </c>
      <c r="T55" s="70">
        <v>2.65</v>
      </c>
      <c r="U55" s="93">
        <f>AVERAGE(U54,U56)</f>
        <v>4.9290000000000003</v>
      </c>
      <c r="V55" s="72">
        <v>-10</v>
      </c>
      <c r="W55" s="73">
        <v>-10</v>
      </c>
      <c r="X55" s="72">
        <f>X56-1.35</f>
        <v>1.218</v>
      </c>
      <c r="Y55" s="73">
        <f>Y54-0.85</f>
        <v>0.72899999999999998</v>
      </c>
      <c r="Z55" s="72">
        <f t="shared" si="37"/>
        <v>-13.134999999999996</v>
      </c>
      <c r="AA55" s="73">
        <f>AVERAGE(AA54,AA56)</f>
        <v>4.7385000000000002</v>
      </c>
      <c r="AB55" s="72">
        <f>AVERAGE(AB54,AB56)</f>
        <v>3.1215000000000002</v>
      </c>
      <c r="AC55" s="73">
        <v>-10</v>
      </c>
      <c r="AD55" s="72">
        <f t="shared" si="3"/>
        <v>-4.391</v>
      </c>
      <c r="AE55" s="73">
        <f>AVERAGE(AE54,AE56)</f>
        <v>2.7054999999999998</v>
      </c>
      <c r="AF55" s="72">
        <f t="shared" si="40"/>
        <v>-16.847999999999999</v>
      </c>
      <c r="AG55" s="73">
        <f>AVERAGE(AG54,AG56)</f>
        <v>4.7385000000000002</v>
      </c>
      <c r="AH55" s="72">
        <f>AVERAGE(AH54,AH56)</f>
        <v>3.1215000000000002</v>
      </c>
      <c r="AI55" s="74">
        <v>-10</v>
      </c>
      <c r="AJ55" s="47"/>
      <c r="AK55" s="75">
        <f t="shared" si="9"/>
        <v>84.918047503631541</v>
      </c>
      <c r="AL55" s="68">
        <f t="shared" si="14"/>
        <v>1E-13</v>
      </c>
      <c r="AM55" s="76">
        <f t="shared" si="15"/>
        <v>1E-13</v>
      </c>
      <c r="AN55" s="68">
        <f t="shared" si="16"/>
        <v>1.6519617982290152E-2</v>
      </c>
      <c r="AO55" s="76">
        <f t="shared" si="17"/>
        <v>5.3579665751334171E-3</v>
      </c>
      <c r="AP55" s="68">
        <f t="shared" si="18"/>
        <v>7.3282453313890754E-17</v>
      </c>
      <c r="AQ55" s="76">
        <f t="shared" si="19"/>
        <v>54.7646100961895</v>
      </c>
      <c r="AR55" s="68">
        <f t="shared" si="20"/>
        <v>1.3228177080099368</v>
      </c>
      <c r="AS55" s="76">
        <f t="shared" si="21"/>
        <v>1E-13</v>
      </c>
      <c r="AT55" s="68">
        <f t="shared" si="22"/>
        <v>4.0644332916521217E-8</v>
      </c>
      <c r="AU55" s="76">
        <f t="shared" si="23"/>
        <v>0.50757473902890171</v>
      </c>
      <c r="AV55" s="68">
        <f t="shared" si="24"/>
        <v>1.4190575216890905E-20</v>
      </c>
      <c r="AW55" s="76">
        <f t="shared" si="25"/>
        <v>54.7646100961895</v>
      </c>
      <c r="AX55" s="68">
        <f t="shared" si="26"/>
        <v>1.3228177080099368</v>
      </c>
      <c r="AY55" s="77">
        <f t="shared" si="27"/>
        <v>1E-13</v>
      </c>
      <c r="AZ55" s="41"/>
      <c r="BA55" s="78">
        <f t="shared" si="11"/>
        <v>95.609380247757898</v>
      </c>
      <c r="BB55" s="79">
        <f t="shared" si="12"/>
        <v>89.353820935606024</v>
      </c>
    </row>
    <row r="56" spans="2:54">
      <c r="B56" s="53">
        <v>600</v>
      </c>
      <c r="C56" s="54">
        <v>1.0622</v>
      </c>
      <c r="D56" s="54">
        <v>0.63100000000000001</v>
      </c>
      <c r="E56" s="55">
        <v>8.0000000000000004E-4</v>
      </c>
      <c r="F56" s="54">
        <v>1.12399</v>
      </c>
      <c r="G56" s="55">
        <v>0.65834099999999995</v>
      </c>
      <c r="H56" s="54">
        <v>0</v>
      </c>
      <c r="I56" s="41">
        <f t="shared" si="7"/>
        <v>129.02958377558829</v>
      </c>
      <c r="J56" s="56">
        <v>98</v>
      </c>
      <c r="K56" s="57">
        <v>89.7</v>
      </c>
      <c r="L56" s="56">
        <f t="shared" si="38"/>
        <v>97.707462003817852</v>
      </c>
      <c r="M56" s="57">
        <v>100</v>
      </c>
      <c r="N56" s="57">
        <v>16.54</v>
      </c>
      <c r="O56" s="56">
        <v>12.19</v>
      </c>
      <c r="P56" s="57">
        <v>7.33</v>
      </c>
      <c r="Q56" s="42">
        <f t="shared" si="8"/>
        <v>100.0017552521127</v>
      </c>
      <c r="R56" s="57">
        <v>90.5</v>
      </c>
      <c r="S56" s="56">
        <v>-5.8</v>
      </c>
      <c r="T56" s="57">
        <v>3.2</v>
      </c>
      <c r="U56" s="80">
        <v>4.9020000000000001</v>
      </c>
      <c r="V56" s="48">
        <v>-10</v>
      </c>
      <c r="W56" s="47">
        <v>-10</v>
      </c>
      <c r="X56" s="48">
        <v>2.5680000000000001</v>
      </c>
      <c r="Y56" s="47">
        <f>Y55-0.85</f>
        <v>-0.121</v>
      </c>
      <c r="Z56" s="48">
        <f t="shared" si="37"/>
        <v>-13.834999999999996</v>
      </c>
      <c r="AA56" s="47">
        <v>5</v>
      </c>
      <c r="AB56" s="48">
        <v>2.8450000000000002</v>
      </c>
      <c r="AC56" s="47">
        <v>-10</v>
      </c>
      <c r="AD56" s="48">
        <f t="shared" si="3"/>
        <v>-3.0910000000000002</v>
      </c>
      <c r="AE56" s="47">
        <v>2.2389999999999999</v>
      </c>
      <c r="AF56" s="48">
        <f t="shared" si="40"/>
        <v>-17.948</v>
      </c>
      <c r="AG56" s="47">
        <v>5</v>
      </c>
      <c r="AH56" s="48">
        <v>2.8450000000000002</v>
      </c>
      <c r="AI56" s="58">
        <v>-10</v>
      </c>
      <c r="AJ56" s="47"/>
      <c r="AK56" s="50">
        <f t="shared" si="9"/>
        <v>79.799468726797727</v>
      </c>
      <c r="AL56" s="42">
        <f t="shared" si="14"/>
        <v>1E-13</v>
      </c>
      <c r="AM56" s="41">
        <f t="shared" si="15"/>
        <v>1E-13</v>
      </c>
      <c r="AN56" s="42">
        <f t="shared" si="16"/>
        <v>0.36982817978026644</v>
      </c>
      <c r="AO56" s="41">
        <f t="shared" si="17"/>
        <v>7.5683289502097436E-4</v>
      </c>
      <c r="AP56" s="42">
        <f t="shared" si="18"/>
        <v>1.4621771744567293E-17</v>
      </c>
      <c r="AQ56" s="41">
        <f t="shared" si="19"/>
        <v>100</v>
      </c>
      <c r="AR56" s="42">
        <f t="shared" si="20"/>
        <v>0.69984199600227437</v>
      </c>
      <c r="AS56" s="41">
        <f t="shared" si="21"/>
        <v>1E-13</v>
      </c>
      <c r="AT56" s="42">
        <f t="shared" si="22"/>
        <v>8.1096105785383962E-7</v>
      </c>
      <c r="AU56" s="41">
        <f t="shared" si="23"/>
        <v>0.17338039977541381</v>
      </c>
      <c r="AV56" s="42">
        <f t="shared" si="24"/>
        <v>1.127197456175505E-21</v>
      </c>
      <c r="AW56" s="41">
        <f t="shared" si="25"/>
        <v>100</v>
      </c>
      <c r="AX56" s="42">
        <f t="shared" si="26"/>
        <v>0.69984199600227437</v>
      </c>
      <c r="AY56" s="52">
        <f t="shared" si="27"/>
        <v>1E-13</v>
      </c>
      <c r="AZ56" s="41"/>
      <c r="BA56" s="59">
        <f t="shared" si="11"/>
        <v>97.707462003817852</v>
      </c>
      <c r="BB56" s="60">
        <f t="shared" si="12"/>
        <v>90.016025734679502</v>
      </c>
    </row>
    <row r="57" spans="2:54">
      <c r="B57" s="53">
        <v>605</v>
      </c>
      <c r="C57" s="54">
        <v>1.0456000000000001</v>
      </c>
      <c r="D57" s="54">
        <v>0.56679999999999997</v>
      </c>
      <c r="E57" s="55">
        <v>5.9999999999999995E-4</v>
      </c>
      <c r="F57" s="54">
        <v>1.0891</v>
      </c>
      <c r="G57" s="55">
        <v>0.59387800000000002</v>
      </c>
      <c r="H57" s="54">
        <v>0</v>
      </c>
      <c r="I57" s="41">
        <f t="shared" si="7"/>
        <v>132.68191340759074</v>
      </c>
      <c r="J57" s="56">
        <v>98.08</v>
      </c>
      <c r="K57" s="57">
        <v>88.83</v>
      </c>
      <c r="L57" s="56">
        <f t="shared" si="38"/>
        <v>98.500724178845786</v>
      </c>
      <c r="M57" s="57">
        <v>100</v>
      </c>
      <c r="N57" s="57">
        <v>15.21</v>
      </c>
      <c r="O57" s="56">
        <v>11.89</v>
      </c>
      <c r="P57" s="57">
        <v>9.7200000000000006</v>
      </c>
      <c r="Q57" s="42">
        <f t="shared" si="8"/>
        <v>99.8497580516281</v>
      </c>
      <c r="R57" s="57">
        <v>90.4</v>
      </c>
      <c r="S57" s="56">
        <v>-6.5</v>
      </c>
      <c r="T57" s="57">
        <v>3.65</v>
      </c>
      <c r="U57" s="80">
        <f>AVERAGE(U56,U58)</f>
        <v>4.8644999999999996</v>
      </c>
      <c r="V57" s="48">
        <v>-10</v>
      </c>
      <c r="W57" s="47">
        <v>-10</v>
      </c>
      <c r="X57" s="48">
        <f t="shared" ref="X57:AH57" si="46">AVERAGE(X56,X58)</f>
        <v>3.6029999999999998</v>
      </c>
      <c r="Y57" s="47">
        <f t="shared" ref="Y57:Y102" si="47">Y56-0.85</f>
        <v>-0.97099999999999997</v>
      </c>
      <c r="Z57" s="48">
        <f t="shared" si="37"/>
        <v>-14.534999999999995</v>
      </c>
      <c r="AA57" s="47">
        <f t="shared" si="46"/>
        <v>4.9645000000000001</v>
      </c>
      <c r="AB57" s="48">
        <f t="shared" si="46"/>
        <v>2.3995000000000002</v>
      </c>
      <c r="AC57" s="47">
        <v>-10</v>
      </c>
      <c r="AD57" s="48">
        <f t="shared" si="3"/>
        <v>-1.7910000000000001</v>
      </c>
      <c r="AE57" s="47">
        <f t="shared" si="46"/>
        <v>1.6545000000000001</v>
      </c>
      <c r="AF57" s="48">
        <f t="shared" si="40"/>
        <v>-19.048000000000002</v>
      </c>
      <c r="AG57" s="47">
        <f t="shared" si="46"/>
        <v>4.9645000000000001</v>
      </c>
      <c r="AH57" s="48">
        <f t="shared" si="46"/>
        <v>2.3995000000000002</v>
      </c>
      <c r="AI57" s="58">
        <v>-10</v>
      </c>
      <c r="AJ57" s="47"/>
      <c r="AK57" s="50">
        <f t="shared" si="9"/>
        <v>73.198132319980743</v>
      </c>
      <c r="AL57" s="42">
        <f t="shared" si="14"/>
        <v>1E-13</v>
      </c>
      <c r="AM57" s="41">
        <f t="shared" si="15"/>
        <v>1E-13</v>
      </c>
      <c r="AN57" s="42">
        <f t="shared" si="16"/>
        <v>4.0086671762730273</v>
      </c>
      <c r="AO57" s="41">
        <f t="shared" si="17"/>
        <v>1.0690548792226575E-4</v>
      </c>
      <c r="AP57" s="42">
        <f t="shared" si="18"/>
        <v>2.9174270140011986E-18</v>
      </c>
      <c r="AQ57" s="41">
        <f t="shared" si="19"/>
        <v>92.150988873495933</v>
      </c>
      <c r="AR57" s="42">
        <f t="shared" si="20"/>
        <v>0.2508996179465402</v>
      </c>
      <c r="AS57" s="41">
        <f t="shared" si="21"/>
        <v>1E-13</v>
      </c>
      <c r="AT57" s="42">
        <f t="shared" si="22"/>
        <v>1.618080037643065E-5</v>
      </c>
      <c r="AU57" s="41">
        <f t="shared" si="23"/>
        <v>4.5133602534095603E-2</v>
      </c>
      <c r="AV57" s="42">
        <f t="shared" si="24"/>
        <v>8.9536476554958628E-23</v>
      </c>
      <c r="AW57" s="41">
        <f t="shared" si="25"/>
        <v>92.150988873495933</v>
      </c>
      <c r="AX57" s="42">
        <f t="shared" si="26"/>
        <v>0.2508996179465402</v>
      </c>
      <c r="AY57" s="52">
        <f t="shared" si="27"/>
        <v>1E-13</v>
      </c>
      <c r="AZ57" s="41"/>
      <c r="BA57" s="59">
        <f t="shared" si="11"/>
        <v>98.500724178845786</v>
      </c>
      <c r="BB57" s="60">
        <f t="shared" si="12"/>
        <v>89.813694375879194</v>
      </c>
    </row>
    <row r="58" spans="2:54">
      <c r="B58" s="53">
        <v>610</v>
      </c>
      <c r="C58" s="54">
        <v>1.0025999999999999</v>
      </c>
      <c r="D58" s="54">
        <v>0.503</v>
      </c>
      <c r="E58" s="55">
        <v>3.4000000000000002E-4</v>
      </c>
      <c r="F58" s="54">
        <v>1.0304800000000001</v>
      </c>
      <c r="G58" s="55">
        <v>0.52796299999999996</v>
      </c>
      <c r="H58" s="54">
        <v>0</v>
      </c>
      <c r="I58" s="41">
        <f t="shared" si="7"/>
        <v>136.329179323375</v>
      </c>
      <c r="J58" s="56">
        <v>98.5</v>
      </c>
      <c r="K58" s="57">
        <v>88.4</v>
      </c>
      <c r="L58" s="56">
        <f t="shared" si="38"/>
        <v>99.293986353873692</v>
      </c>
      <c r="M58" s="57">
        <v>100</v>
      </c>
      <c r="N58" s="57">
        <v>13.8</v>
      </c>
      <c r="O58" s="56">
        <v>11.6</v>
      </c>
      <c r="P58" s="57">
        <v>55.27</v>
      </c>
      <c r="Q58" s="42">
        <f t="shared" si="8"/>
        <v>99.668050002154828</v>
      </c>
      <c r="R58" s="57">
        <v>90.3</v>
      </c>
      <c r="S58" s="56">
        <v>-7.2</v>
      </c>
      <c r="T58" s="57">
        <v>4.0999999999999996</v>
      </c>
      <c r="U58" s="80">
        <v>4.827</v>
      </c>
      <c r="V58" s="48">
        <v>-10</v>
      </c>
      <c r="W58" s="47">
        <v>-10</v>
      </c>
      <c r="X58" s="48">
        <v>4.6379999999999999</v>
      </c>
      <c r="Y58" s="47">
        <f t="shared" si="47"/>
        <v>-1.821</v>
      </c>
      <c r="Z58" s="48">
        <f t="shared" si="37"/>
        <v>-15.234999999999994</v>
      </c>
      <c r="AA58" s="47">
        <v>4.9290000000000003</v>
      </c>
      <c r="AB58" s="48">
        <v>1.954</v>
      </c>
      <c r="AC58" s="47">
        <v>-10</v>
      </c>
      <c r="AD58" s="48">
        <f>AD59-1.3</f>
        <v>-0.4910000000000001</v>
      </c>
      <c r="AE58" s="47">
        <v>1.07</v>
      </c>
      <c r="AF58" s="48">
        <f t="shared" si="40"/>
        <v>-20.148000000000003</v>
      </c>
      <c r="AG58" s="47">
        <v>4.9290000000000003</v>
      </c>
      <c r="AH58" s="48">
        <v>1.954</v>
      </c>
      <c r="AI58" s="58">
        <v>-10</v>
      </c>
      <c r="AJ58" s="47"/>
      <c r="AK58" s="50">
        <f t="shared" si="9"/>
        <v>67.142885292595338</v>
      </c>
      <c r="AL58" s="42">
        <f t="shared" si="14"/>
        <v>1E-13</v>
      </c>
      <c r="AM58" s="41">
        <f t="shared" si="15"/>
        <v>1E-13</v>
      </c>
      <c r="AN58" s="42">
        <f t="shared" si="16"/>
        <v>43.451022417157176</v>
      </c>
      <c r="AO58" s="41">
        <f t="shared" si="17"/>
        <v>1.510080154164148E-5</v>
      </c>
      <c r="AP58" s="42">
        <f t="shared" si="18"/>
        <v>5.8210321777087752E-19</v>
      </c>
      <c r="AQ58" s="41">
        <f t="shared" si="19"/>
        <v>84.918047503631541</v>
      </c>
      <c r="AR58" s="42">
        <f t="shared" si="20"/>
        <v>8.9949758153003531E-2</v>
      </c>
      <c r="AS58" s="41">
        <f t="shared" si="21"/>
        <v>1E-13</v>
      </c>
      <c r="AT58" s="42">
        <f t="shared" si="22"/>
        <v>3.2284941217126343E-4</v>
      </c>
      <c r="AU58" s="41">
        <f t="shared" si="23"/>
        <v>1.17489755493953E-2</v>
      </c>
      <c r="AV58" s="42">
        <f t="shared" si="24"/>
        <v>7.112135136533204E-24</v>
      </c>
      <c r="AW58" s="41">
        <f t="shared" si="25"/>
        <v>84.918047503631541</v>
      </c>
      <c r="AX58" s="42">
        <f t="shared" si="26"/>
        <v>8.9949758153003531E-2</v>
      </c>
      <c r="AY58" s="52">
        <f t="shared" si="27"/>
        <v>1E-13</v>
      </c>
      <c r="AZ58" s="41"/>
      <c r="BA58" s="59">
        <f t="shared" si="11"/>
        <v>99.293986353873692</v>
      </c>
      <c r="BB58" s="60">
        <f t="shared" si="12"/>
        <v>89.611363017078872</v>
      </c>
    </row>
    <row r="59" spans="2:54">
      <c r="B59" s="53">
        <v>615</v>
      </c>
      <c r="C59" s="54">
        <v>0.93840000000000001</v>
      </c>
      <c r="D59" s="54">
        <v>0.44119999999999998</v>
      </c>
      <c r="E59" s="55">
        <v>2.4000000000000001E-4</v>
      </c>
      <c r="F59" s="54">
        <v>0.95074000000000003</v>
      </c>
      <c r="G59" s="55">
        <v>0.46183400000000002</v>
      </c>
      <c r="H59" s="54">
        <v>0</v>
      </c>
      <c r="I59" s="41">
        <f t="shared" si="7"/>
        <v>139.96847162391012</v>
      </c>
      <c r="J59" s="56">
        <v>99.06</v>
      </c>
      <c r="K59" s="57">
        <v>88.19</v>
      </c>
      <c r="L59" s="56">
        <f t="shared" si="38"/>
        <v>99.182236145459953</v>
      </c>
      <c r="M59" s="57">
        <v>100</v>
      </c>
      <c r="N59" s="57">
        <v>12.36</v>
      </c>
      <c r="O59" s="56">
        <v>11.35</v>
      </c>
      <c r="P59" s="57">
        <v>42.58</v>
      </c>
      <c r="Q59" s="42">
        <f t="shared" si="8"/>
        <v>99.457816702029234</v>
      </c>
      <c r="R59" s="57">
        <v>89.35</v>
      </c>
      <c r="S59" s="56">
        <v>-7.9</v>
      </c>
      <c r="T59" s="57">
        <v>4.4000000000000004</v>
      </c>
      <c r="U59" s="80">
        <f>AVERAGE(U58,U60)</f>
        <v>4.7789999999999999</v>
      </c>
      <c r="V59" s="48">
        <v>-10</v>
      </c>
      <c r="W59" s="47">
        <v>-10</v>
      </c>
      <c r="X59" s="48">
        <f>AVERAGE(X58,X60)</f>
        <v>4.819</v>
      </c>
      <c r="Y59" s="47">
        <f t="shared" si="47"/>
        <v>-2.6709999999999998</v>
      </c>
      <c r="Z59" s="48">
        <f t="shared" si="37"/>
        <v>-15.934999999999993</v>
      </c>
      <c r="AA59" s="47">
        <f>AVERAGE(AA58,AA60)</f>
        <v>4.8345000000000002</v>
      </c>
      <c r="AB59" s="48">
        <f>AVERAGE(AB58,AB60)</f>
        <v>1.4769999999999999</v>
      </c>
      <c r="AC59" s="47">
        <v>-10</v>
      </c>
      <c r="AD59" s="48">
        <f>AD60-1.3</f>
        <v>0.80899999999999994</v>
      </c>
      <c r="AE59" s="47">
        <f>AE58-0.6</f>
        <v>0.47000000000000008</v>
      </c>
      <c r="AF59" s="48">
        <f t="shared" si="40"/>
        <v>-21.248000000000005</v>
      </c>
      <c r="AG59" s="47">
        <f>AVERAGE(AG58,AG60)</f>
        <v>4.8345000000000002</v>
      </c>
      <c r="AH59" s="48">
        <f>AVERAGE(AH58,AH60)</f>
        <v>1.4769999999999999</v>
      </c>
      <c r="AI59" s="58">
        <v>-10</v>
      </c>
      <c r="AJ59" s="47"/>
      <c r="AK59" s="50">
        <f t="shared" si="9"/>
        <v>60.1173737483279</v>
      </c>
      <c r="AL59" s="42">
        <f t="shared" si="14"/>
        <v>1E-13</v>
      </c>
      <c r="AM59" s="41">
        <f t="shared" si="15"/>
        <v>1E-13</v>
      </c>
      <c r="AN59" s="42">
        <f t="shared" si="16"/>
        <v>65.917389524432224</v>
      </c>
      <c r="AO59" s="41">
        <f t="shared" si="17"/>
        <v>2.1330449131465764E-6</v>
      </c>
      <c r="AP59" s="42">
        <f t="shared" si="18"/>
        <v>1.1614486138403547E-19</v>
      </c>
      <c r="AQ59" s="41">
        <f t="shared" si="19"/>
        <v>68.312471797929391</v>
      </c>
      <c r="AR59" s="42">
        <f t="shared" si="20"/>
        <v>2.9991625189876515E-2</v>
      </c>
      <c r="AS59" s="41">
        <f t="shared" si="21"/>
        <v>1E-13</v>
      </c>
      <c r="AT59" s="42">
        <f t="shared" si="22"/>
        <v>6.4416926551517728E-3</v>
      </c>
      <c r="AU59" s="41">
        <f t="shared" si="23"/>
        <v>2.9512092266663868E-3</v>
      </c>
      <c r="AV59" s="42">
        <f t="shared" si="24"/>
        <v>5.6493697481229355E-25</v>
      </c>
      <c r="AW59" s="41">
        <f t="shared" si="25"/>
        <v>68.312471797929391</v>
      </c>
      <c r="AX59" s="42">
        <f t="shared" si="26"/>
        <v>2.9991625189876515E-2</v>
      </c>
      <c r="AY59" s="52">
        <f t="shared" si="27"/>
        <v>1E-13</v>
      </c>
      <c r="AZ59" s="41"/>
      <c r="BA59" s="59">
        <f t="shared" si="11"/>
        <v>99.182236145459953</v>
      </c>
      <c r="BB59" s="60">
        <f t="shared" si="12"/>
        <v>88.66230458881266</v>
      </c>
    </row>
    <row r="60" spans="2:54">
      <c r="B60" s="53">
        <v>620</v>
      </c>
      <c r="C60" s="54">
        <v>0.85444989999999998</v>
      </c>
      <c r="D60" s="54">
        <v>0.38100000000000001</v>
      </c>
      <c r="E60" s="55">
        <v>1.9000000000000001E-4</v>
      </c>
      <c r="F60" s="54">
        <v>0.85629699999999997</v>
      </c>
      <c r="G60" s="55">
        <v>0.39805699999999999</v>
      </c>
      <c r="H60" s="54">
        <v>0</v>
      </c>
      <c r="I60" s="41">
        <f t="shared" si="7"/>
        <v>143.59695700104737</v>
      </c>
      <c r="J60" s="56">
        <v>99.7</v>
      </c>
      <c r="K60" s="57">
        <v>88.1</v>
      </c>
      <c r="L60" s="56">
        <f t="shared" si="38"/>
        <v>99.070485937046229</v>
      </c>
      <c r="M60" s="57">
        <v>100</v>
      </c>
      <c r="N60" s="57">
        <v>10.95</v>
      </c>
      <c r="O60" s="56">
        <v>11.12</v>
      </c>
      <c r="P60" s="57">
        <v>13.18</v>
      </c>
      <c r="Q60" s="42">
        <f t="shared" si="8"/>
        <v>99.220222616213249</v>
      </c>
      <c r="R60" s="57">
        <v>88.4</v>
      </c>
      <c r="S60" s="56">
        <v>-8.6</v>
      </c>
      <c r="T60" s="57">
        <v>4.7</v>
      </c>
      <c r="U60" s="80">
        <v>4.7309999999999999</v>
      </c>
      <c r="V60" s="48">
        <v>-10</v>
      </c>
      <c r="W60" s="47">
        <v>-10</v>
      </c>
      <c r="X60" s="48">
        <v>5</v>
      </c>
      <c r="Y60" s="47">
        <f t="shared" si="47"/>
        <v>-3.5209999999999999</v>
      </c>
      <c r="Z60" s="48">
        <f t="shared" si="37"/>
        <v>-16.634999999999994</v>
      </c>
      <c r="AA60" s="47">
        <v>4.74</v>
      </c>
      <c r="AB60" s="48">
        <v>1</v>
      </c>
      <c r="AC60" s="47">
        <v>-10</v>
      </c>
      <c r="AD60" s="48">
        <v>2.109</v>
      </c>
      <c r="AE60" s="47">
        <f>AE59-0.6</f>
        <v>-0.12999999999999989</v>
      </c>
      <c r="AF60" s="48">
        <f t="shared" si="40"/>
        <v>-22.348000000000006</v>
      </c>
      <c r="AG60" s="47">
        <v>4.74</v>
      </c>
      <c r="AH60" s="48">
        <v>1</v>
      </c>
      <c r="AI60" s="58">
        <v>-10</v>
      </c>
      <c r="AJ60" s="47"/>
      <c r="AK60" s="50">
        <f t="shared" si="9"/>
        <v>53.826978251628823</v>
      </c>
      <c r="AL60" s="42">
        <f t="shared" si="14"/>
        <v>1E-13</v>
      </c>
      <c r="AM60" s="41">
        <f t="shared" si="15"/>
        <v>1E-13</v>
      </c>
      <c r="AN60" s="42">
        <f t="shared" si="16"/>
        <v>100</v>
      </c>
      <c r="AO60" s="41">
        <f t="shared" si="17"/>
        <v>3.0130060241861188E-7</v>
      </c>
      <c r="AP60" s="42">
        <f t="shared" si="18"/>
        <v>2.317394649968501E-20</v>
      </c>
      <c r="AQ60" s="41">
        <f t="shared" si="19"/>
        <v>54.954087385762506</v>
      </c>
      <c r="AR60" s="42">
        <f t="shared" si="20"/>
        <v>0.01</v>
      </c>
      <c r="AS60" s="41">
        <f t="shared" si="21"/>
        <v>1E-13</v>
      </c>
      <c r="AT60" s="42">
        <f t="shared" si="22"/>
        <v>0.12852866599436161</v>
      </c>
      <c r="AU60" s="41">
        <f t="shared" si="23"/>
        <v>7.4131024130091774E-4</v>
      </c>
      <c r="AV60" s="42">
        <f t="shared" si="24"/>
        <v>4.4874538993312338E-26</v>
      </c>
      <c r="AW60" s="41">
        <f t="shared" si="25"/>
        <v>54.954087385762506</v>
      </c>
      <c r="AX60" s="42">
        <f t="shared" si="26"/>
        <v>0.01</v>
      </c>
      <c r="AY60" s="52">
        <f t="shared" si="27"/>
        <v>1E-13</v>
      </c>
      <c r="AZ60" s="41"/>
      <c r="BA60" s="59">
        <f t="shared" si="11"/>
        <v>99.070485937046229</v>
      </c>
      <c r="BB60" s="60">
        <f t="shared" si="12"/>
        <v>87.713246160546475</v>
      </c>
    </row>
    <row r="61" spans="2:54">
      <c r="B61" s="53">
        <v>625</v>
      </c>
      <c r="C61" s="54">
        <v>0.75139999999999996</v>
      </c>
      <c r="D61" s="54">
        <v>0.32100000000000001</v>
      </c>
      <c r="E61" s="55">
        <v>1E-4</v>
      </c>
      <c r="F61" s="54">
        <v>0.75492999999999999</v>
      </c>
      <c r="G61" s="55">
        <v>0.33955400000000002</v>
      </c>
      <c r="H61" s="54">
        <v>0</v>
      </c>
      <c r="I61" s="41">
        <f t="shared" si="7"/>
        <v>147.21188174930481</v>
      </c>
      <c r="J61" s="56">
        <v>100.36</v>
      </c>
      <c r="K61" s="57">
        <v>88.06</v>
      </c>
      <c r="L61" s="56">
        <f t="shared" si="38"/>
        <v>97.411980440372702</v>
      </c>
      <c r="M61" s="57">
        <v>100</v>
      </c>
      <c r="N61" s="57">
        <v>9.65</v>
      </c>
      <c r="O61" s="56">
        <v>10.95</v>
      </c>
      <c r="P61" s="57">
        <v>13.16</v>
      </c>
      <c r="Q61" s="42">
        <f t="shared" si="8"/>
        <v>98.956410053521964</v>
      </c>
      <c r="R61" s="57">
        <v>86.2</v>
      </c>
      <c r="S61" s="56">
        <v>-9.0500000000000007</v>
      </c>
      <c r="T61" s="57">
        <v>4.9000000000000004</v>
      </c>
      <c r="U61" s="80">
        <f>AVERAGE(U60,U62)</f>
        <v>4.6619999999999999</v>
      </c>
      <c r="V61" s="48">
        <v>-10</v>
      </c>
      <c r="W61" s="47">
        <v>-10</v>
      </c>
      <c r="X61" s="48">
        <f t="shared" ref="X61:AH61" si="48">AVERAGE(X60,X62)</f>
        <v>4.9355000000000002</v>
      </c>
      <c r="Y61" s="47">
        <f t="shared" si="47"/>
        <v>-4.3709999999999996</v>
      </c>
      <c r="Z61" s="48">
        <f t="shared" si="37"/>
        <v>-17.334999999999994</v>
      </c>
      <c r="AA61" s="47">
        <f t="shared" si="48"/>
        <v>4.569</v>
      </c>
      <c r="AB61" s="48">
        <f t="shared" si="48"/>
        <v>-4.5</v>
      </c>
      <c r="AC61" s="47">
        <v>-10</v>
      </c>
      <c r="AD61" s="48">
        <f t="shared" si="48"/>
        <v>3.294</v>
      </c>
      <c r="AE61" s="47">
        <f t="shared" ref="AE61:AE102" si="49">AE60-0.6</f>
        <v>-0.72999999999999987</v>
      </c>
      <c r="AF61" s="48">
        <f t="shared" si="40"/>
        <v>-23.448000000000008</v>
      </c>
      <c r="AG61" s="47">
        <f t="shared" si="48"/>
        <v>4.569</v>
      </c>
      <c r="AH61" s="48">
        <f t="shared" si="48"/>
        <v>0.5</v>
      </c>
      <c r="AI61" s="58">
        <v>-10</v>
      </c>
      <c r="AJ61" s="47"/>
      <c r="AK61" s="50">
        <f t="shared" si="9"/>
        <v>45.919801283686915</v>
      </c>
      <c r="AL61" s="42">
        <f t="shared" si="14"/>
        <v>1E-13</v>
      </c>
      <c r="AM61" s="41">
        <f t="shared" si="15"/>
        <v>1E-13</v>
      </c>
      <c r="AN61" s="42">
        <f t="shared" si="16"/>
        <v>86.198557870575954</v>
      </c>
      <c r="AO61" s="41">
        <f t="shared" si="17"/>
        <v>4.2559841313374315E-8</v>
      </c>
      <c r="AP61" s="42">
        <f t="shared" si="18"/>
        <v>4.6238102139926461E-21</v>
      </c>
      <c r="AQ61" s="41">
        <f t="shared" si="19"/>
        <v>37.068072178257601</v>
      </c>
      <c r="AR61" s="42">
        <f t="shared" si="20"/>
        <v>3.1622776601683746E-8</v>
      </c>
      <c r="AS61" s="41">
        <f t="shared" si="21"/>
        <v>1E-13</v>
      </c>
      <c r="AT61" s="42">
        <f t="shared" si="22"/>
        <v>1.9678862897068461</v>
      </c>
      <c r="AU61" s="41">
        <f t="shared" si="23"/>
        <v>1.8620871366628678E-4</v>
      </c>
      <c r="AV61" s="42">
        <f t="shared" si="24"/>
        <v>3.5645113342623594E-27</v>
      </c>
      <c r="AW61" s="41">
        <f t="shared" si="25"/>
        <v>37.068072178257601</v>
      </c>
      <c r="AX61" s="42">
        <f t="shared" si="26"/>
        <v>3.1622776601683794E-3</v>
      </c>
      <c r="AY61" s="52">
        <f t="shared" si="27"/>
        <v>1E-13</v>
      </c>
      <c r="AZ61" s="41"/>
      <c r="BA61" s="59">
        <f t="shared" si="11"/>
        <v>97.411980440372702</v>
      </c>
      <c r="BB61" s="60">
        <f t="shared" si="12"/>
        <v>85.508933698064197</v>
      </c>
    </row>
    <row r="62" spans="2:54">
      <c r="B62" s="53">
        <v>630</v>
      </c>
      <c r="C62" s="54">
        <v>0.64239999999999997</v>
      </c>
      <c r="D62" s="54">
        <v>0.26500000000000001</v>
      </c>
      <c r="E62" s="55">
        <v>4.9999990000000002E-5</v>
      </c>
      <c r="F62" s="54">
        <v>0.64746700000000001</v>
      </c>
      <c r="G62" s="55">
        <v>0.28349299999999999</v>
      </c>
      <c r="H62" s="54">
        <v>0</v>
      </c>
      <c r="I62" s="41">
        <f t="shared" si="7"/>
        <v>150.81057438389774</v>
      </c>
      <c r="J62" s="56">
        <v>101</v>
      </c>
      <c r="K62" s="57">
        <v>88</v>
      </c>
      <c r="L62" s="56">
        <f t="shared" si="38"/>
        <v>95.753474943699189</v>
      </c>
      <c r="M62" s="57">
        <v>100</v>
      </c>
      <c r="N62" s="57">
        <v>8.4</v>
      </c>
      <c r="O62" s="56">
        <v>10.76</v>
      </c>
      <c r="P62" s="57">
        <v>12.26</v>
      </c>
      <c r="Q62" s="42">
        <f t="shared" si="8"/>
        <v>98.667498291256649</v>
      </c>
      <c r="R62" s="57">
        <v>84</v>
      </c>
      <c r="S62" s="56">
        <v>-9.5</v>
      </c>
      <c r="T62" s="57">
        <v>5.0999999999999996</v>
      </c>
      <c r="U62" s="80">
        <v>4.593</v>
      </c>
      <c r="V62" s="48">
        <v>-10</v>
      </c>
      <c r="W62" s="47">
        <v>-10</v>
      </c>
      <c r="X62" s="48">
        <v>4.8710000000000004</v>
      </c>
      <c r="Y62" s="47">
        <f t="shared" si="47"/>
        <v>-5.2209999999999992</v>
      </c>
      <c r="Z62" s="48">
        <f t="shared" si="37"/>
        <v>-18.034999999999993</v>
      </c>
      <c r="AA62" s="47">
        <v>4.3979999999999997</v>
      </c>
      <c r="AB62" s="48">
        <v>-10</v>
      </c>
      <c r="AC62" s="47">
        <v>-10</v>
      </c>
      <c r="AD62" s="48">
        <v>4.4790000000000001</v>
      </c>
      <c r="AE62" s="47">
        <f t="shared" si="49"/>
        <v>-1.3299999999999998</v>
      </c>
      <c r="AF62" s="48">
        <f t="shared" si="40"/>
        <v>-24.548000000000009</v>
      </c>
      <c r="AG62" s="47">
        <v>4.3979999999999997</v>
      </c>
      <c r="AH62" s="48">
        <v>0</v>
      </c>
      <c r="AI62" s="58">
        <v>-10</v>
      </c>
      <c r="AJ62" s="47"/>
      <c r="AK62" s="50">
        <f t="shared" si="9"/>
        <v>39.174187710778341</v>
      </c>
      <c r="AL62" s="42">
        <f t="shared" si="14"/>
        <v>1E-13</v>
      </c>
      <c r="AM62" s="41">
        <f t="shared" si="15"/>
        <v>1E-13</v>
      </c>
      <c r="AN62" s="42">
        <f t="shared" si="16"/>
        <v>74.301913789670309</v>
      </c>
      <c r="AO62" s="41">
        <f t="shared" si="17"/>
        <v>6.0117373748327885E-9</v>
      </c>
      <c r="AP62" s="42">
        <f t="shared" si="18"/>
        <v>9.2257142715477117E-22</v>
      </c>
      <c r="AQ62" s="41">
        <f t="shared" si="19"/>
        <v>25.003453616964336</v>
      </c>
      <c r="AR62" s="42">
        <f t="shared" si="20"/>
        <v>1E-13</v>
      </c>
      <c r="AS62" s="41">
        <f t="shared" si="21"/>
        <v>1E-13</v>
      </c>
      <c r="AT62" s="42">
        <f t="shared" si="22"/>
        <v>30.130060241861241</v>
      </c>
      <c r="AU62" s="41">
        <f t="shared" si="23"/>
        <v>4.677351412871983E-5</v>
      </c>
      <c r="AV62" s="42">
        <f t="shared" si="24"/>
        <v>2.8313919957993028E-28</v>
      </c>
      <c r="AW62" s="41">
        <f t="shared" si="25"/>
        <v>25.003453616964336</v>
      </c>
      <c r="AX62" s="42">
        <f t="shared" si="26"/>
        <v>1E-3</v>
      </c>
      <c r="AY62" s="52">
        <f t="shared" si="27"/>
        <v>1E-13</v>
      </c>
      <c r="AZ62" s="41"/>
      <c r="BA62" s="59">
        <f t="shared" si="11"/>
        <v>95.753474943699189</v>
      </c>
      <c r="BB62" s="60">
        <f t="shared" si="12"/>
        <v>83.304621235581905</v>
      </c>
    </row>
    <row r="63" spans="2:54">
      <c r="B63" s="53">
        <v>635</v>
      </c>
      <c r="C63" s="54">
        <v>0.54190000000000005</v>
      </c>
      <c r="D63" s="54">
        <v>0.217</v>
      </c>
      <c r="E63" s="55">
        <v>3.0000000000000001E-5</v>
      </c>
      <c r="F63" s="54">
        <v>0.53510999999999997</v>
      </c>
      <c r="G63" s="55">
        <v>0.22825400000000001</v>
      </c>
      <c r="H63" s="54">
        <v>0</v>
      </c>
      <c r="I63" s="41">
        <f t="shared" si="7"/>
        <v>154.39044788222282</v>
      </c>
      <c r="J63" s="56">
        <v>101.56</v>
      </c>
      <c r="K63" s="57">
        <v>87.86</v>
      </c>
      <c r="L63" s="56">
        <f t="shared" si="38"/>
        <v>97.325099346757639</v>
      </c>
      <c r="M63" s="57">
        <v>100</v>
      </c>
      <c r="N63" s="57">
        <v>7.32</v>
      </c>
      <c r="O63" s="56">
        <v>10.42</v>
      </c>
      <c r="P63" s="57">
        <v>5.1100000000000003</v>
      </c>
      <c r="Q63" s="42">
        <f t="shared" si="8"/>
        <v>98.354582836427966</v>
      </c>
      <c r="R63" s="57">
        <v>84.55</v>
      </c>
      <c r="S63" s="56">
        <v>-10.199999999999999</v>
      </c>
      <c r="T63" s="57">
        <v>5.9</v>
      </c>
      <c r="U63" s="80">
        <f>AVERAGE(U62,U64)</f>
        <v>4.5129999999999999</v>
      </c>
      <c r="V63" s="48">
        <v>-10</v>
      </c>
      <c r="W63" s="47">
        <v>-10</v>
      </c>
      <c r="X63" s="48">
        <f>AVERAGE(X62,X64)</f>
        <v>4.7375000000000007</v>
      </c>
      <c r="Y63" s="47">
        <f t="shared" si="47"/>
        <v>-6.0709999999999988</v>
      </c>
      <c r="Z63" s="48">
        <f t="shared" si="37"/>
        <v>-18.734999999999992</v>
      </c>
      <c r="AA63" s="47">
        <f>AVERAGE(AA62,AA64)</f>
        <v>4.1989999999999998</v>
      </c>
      <c r="AB63" s="48">
        <v>-10</v>
      </c>
      <c r="AC63" s="47">
        <v>-10</v>
      </c>
      <c r="AD63" s="48">
        <f>AVERAGE(AD62,AD64)</f>
        <v>4.7394999999999996</v>
      </c>
      <c r="AE63" s="47">
        <f t="shared" si="49"/>
        <v>-1.9299999999999997</v>
      </c>
      <c r="AF63" s="48">
        <f t="shared" si="40"/>
        <v>-25.64800000000001</v>
      </c>
      <c r="AG63" s="47">
        <f>AVERAGE(AG62,AG64)</f>
        <v>4.1989999999999998</v>
      </c>
      <c r="AH63" s="48">
        <v>-10</v>
      </c>
      <c r="AI63" s="58">
        <v>-10</v>
      </c>
      <c r="AJ63" s="47"/>
      <c r="AK63" s="50">
        <f t="shared" si="9"/>
        <v>32.583670100200877</v>
      </c>
      <c r="AL63" s="42">
        <f t="shared" si="14"/>
        <v>1E-13</v>
      </c>
      <c r="AM63" s="41">
        <f t="shared" si="15"/>
        <v>1E-13</v>
      </c>
      <c r="AN63" s="42">
        <f t="shared" si="16"/>
        <v>54.638654988185571</v>
      </c>
      <c r="AO63" s="41">
        <f t="shared" si="17"/>
        <v>8.4918047503631571E-10</v>
      </c>
      <c r="AP63" s="42">
        <f t="shared" si="18"/>
        <v>1.8407720014689841E-22</v>
      </c>
      <c r="AQ63" s="41">
        <f t="shared" si="19"/>
        <v>15.812480392703831</v>
      </c>
      <c r="AR63" s="42">
        <f t="shared" si="20"/>
        <v>1E-13</v>
      </c>
      <c r="AS63" s="41">
        <f t="shared" si="21"/>
        <v>1E-13</v>
      </c>
      <c r="AT63" s="42">
        <f t="shared" si="22"/>
        <v>54.890855560704509</v>
      </c>
      <c r="AU63" s="41">
        <f t="shared" si="23"/>
        <v>1.1748975549395304E-5</v>
      </c>
      <c r="AV63" s="42">
        <f t="shared" si="24"/>
        <v>2.249054605835712E-29</v>
      </c>
      <c r="AW63" s="41">
        <f t="shared" si="25"/>
        <v>15.812480392703831</v>
      </c>
      <c r="AX63" s="42">
        <f t="shared" si="26"/>
        <v>1E-13</v>
      </c>
      <c r="AY63" s="52">
        <f t="shared" si="27"/>
        <v>1E-13</v>
      </c>
      <c r="AZ63" s="41"/>
      <c r="BA63" s="59">
        <f t="shared" si="11"/>
        <v>97.325099346757639</v>
      </c>
      <c r="BB63" s="60">
        <f t="shared" si="12"/>
        <v>83.511319705535342</v>
      </c>
    </row>
    <row r="64" spans="2:54">
      <c r="B64" s="53">
        <v>640</v>
      </c>
      <c r="C64" s="54">
        <v>0.44790000000000002</v>
      </c>
      <c r="D64" s="54">
        <v>0.17499999999999999</v>
      </c>
      <c r="E64" s="55">
        <v>2.0000000000000002E-5</v>
      </c>
      <c r="F64" s="54">
        <v>0.43156699999999998</v>
      </c>
      <c r="G64" s="55">
        <v>0.17982799999999999</v>
      </c>
      <c r="H64" s="54">
        <v>0</v>
      </c>
      <c r="I64" s="41">
        <f t="shared" si="7"/>
        <v>157.94900156636507</v>
      </c>
      <c r="J64" s="56">
        <v>102.2</v>
      </c>
      <c r="K64" s="57">
        <v>87.8</v>
      </c>
      <c r="L64" s="56">
        <f t="shared" si="38"/>
        <v>98.896723749816104</v>
      </c>
      <c r="M64" s="57">
        <v>100</v>
      </c>
      <c r="N64" s="57">
        <v>6.31</v>
      </c>
      <c r="O64" s="56">
        <v>10.11</v>
      </c>
      <c r="P64" s="57">
        <v>2.0699999999999998</v>
      </c>
      <c r="Q64" s="42">
        <f t="shared" si="8"/>
        <v>98.018734813292184</v>
      </c>
      <c r="R64" s="57">
        <v>85.1</v>
      </c>
      <c r="S64" s="56">
        <v>-10.9</v>
      </c>
      <c r="T64" s="57">
        <v>6.7</v>
      </c>
      <c r="U64" s="80">
        <v>4.4329999999999998</v>
      </c>
      <c r="V64" s="48">
        <v>-10</v>
      </c>
      <c r="W64" s="47">
        <v>-10</v>
      </c>
      <c r="X64" s="48">
        <v>4.6040000000000001</v>
      </c>
      <c r="Y64" s="47">
        <f t="shared" si="47"/>
        <v>-6.9209999999999985</v>
      </c>
      <c r="Z64" s="48">
        <f t="shared" si="37"/>
        <v>-19.434999999999992</v>
      </c>
      <c r="AA64" s="47">
        <v>4</v>
      </c>
      <c r="AB64" s="48">
        <v>-10</v>
      </c>
      <c r="AC64" s="47">
        <v>-10</v>
      </c>
      <c r="AD64" s="48">
        <v>5</v>
      </c>
      <c r="AE64" s="47">
        <f t="shared" si="49"/>
        <v>-2.5299999999999998</v>
      </c>
      <c r="AF64" s="48">
        <f t="shared" si="40"/>
        <v>-26.748000000000012</v>
      </c>
      <c r="AG64" s="47">
        <v>4</v>
      </c>
      <c r="AH64" s="48">
        <v>-10</v>
      </c>
      <c r="AI64" s="58">
        <v>-10</v>
      </c>
      <c r="AJ64" s="47"/>
      <c r="AK64" s="50">
        <f t="shared" si="9"/>
        <v>27.101916318908447</v>
      </c>
      <c r="AL64" s="42">
        <f t="shared" si="14"/>
        <v>1E-13</v>
      </c>
      <c r="AM64" s="41">
        <f t="shared" si="15"/>
        <v>1E-13</v>
      </c>
      <c r="AN64" s="42">
        <f t="shared" si="16"/>
        <v>40.179081084894051</v>
      </c>
      <c r="AO64" s="41">
        <f t="shared" si="17"/>
        <v>1.1994993031493807E-10</v>
      </c>
      <c r="AP64" s="42">
        <f t="shared" si="18"/>
        <v>3.6728230049809023E-23</v>
      </c>
      <c r="AQ64" s="41">
        <f t="shared" si="19"/>
        <v>10</v>
      </c>
      <c r="AR64" s="42">
        <f t="shared" si="20"/>
        <v>1E-13</v>
      </c>
      <c r="AS64" s="41">
        <f t="shared" si="21"/>
        <v>1E-13</v>
      </c>
      <c r="AT64" s="42">
        <f t="shared" si="22"/>
        <v>100</v>
      </c>
      <c r="AU64" s="41">
        <f t="shared" si="23"/>
        <v>2.9512092266663862E-6</v>
      </c>
      <c r="AV64" s="42">
        <f t="shared" si="24"/>
        <v>1.7864875748519893E-30</v>
      </c>
      <c r="AW64" s="41">
        <f t="shared" si="25"/>
        <v>10</v>
      </c>
      <c r="AX64" s="42">
        <f t="shared" si="26"/>
        <v>1E-13</v>
      </c>
      <c r="AY64" s="52">
        <f t="shared" si="27"/>
        <v>1E-13</v>
      </c>
      <c r="AZ64" s="41"/>
      <c r="BA64" s="59">
        <f t="shared" si="11"/>
        <v>98.896723749816104</v>
      </c>
      <c r="BB64" s="60">
        <f t="shared" si="12"/>
        <v>83.718018175488808</v>
      </c>
    </row>
    <row r="65" spans="2:54">
      <c r="B65" s="53">
        <v>645</v>
      </c>
      <c r="C65" s="54">
        <v>0.36080000000000001</v>
      </c>
      <c r="D65" s="54">
        <v>0.13819999999999999</v>
      </c>
      <c r="E65" s="55">
        <v>1.0000000000000001E-5</v>
      </c>
      <c r="F65" s="54">
        <v>0.34369</v>
      </c>
      <c r="G65" s="55">
        <v>0.140211</v>
      </c>
      <c r="H65" s="54">
        <v>0</v>
      </c>
      <c r="I65" s="41">
        <f t="shared" si="7"/>
        <v>161.4838226444277</v>
      </c>
      <c r="J65" s="56">
        <v>103.05</v>
      </c>
      <c r="K65" s="57">
        <v>87.99</v>
      </c>
      <c r="L65" s="56">
        <f t="shared" si="38"/>
        <v>97.302716370313306</v>
      </c>
      <c r="M65" s="57">
        <v>100</v>
      </c>
      <c r="N65" s="57">
        <v>5.43</v>
      </c>
      <c r="O65" s="56">
        <v>10.039999999999999</v>
      </c>
      <c r="P65" s="57">
        <v>2.34</v>
      </c>
      <c r="Q65" s="42">
        <f t="shared" si="8"/>
        <v>97.661000467450009</v>
      </c>
      <c r="R65" s="57">
        <v>83.5</v>
      </c>
      <c r="S65" s="56">
        <v>-10.8</v>
      </c>
      <c r="T65" s="57">
        <v>7</v>
      </c>
      <c r="U65" s="80">
        <f>AVERAGE(U64,U66)</f>
        <v>4.3354999999999997</v>
      </c>
      <c r="V65" s="48">
        <v>-10</v>
      </c>
      <c r="W65" s="47">
        <v>-10</v>
      </c>
      <c r="X65" s="48">
        <f>AVERAGE(X64,X66)</f>
        <v>4.4450000000000003</v>
      </c>
      <c r="Y65" s="47">
        <f t="shared" si="47"/>
        <v>-7.7709999999999981</v>
      </c>
      <c r="Z65" s="48">
        <f t="shared" si="37"/>
        <v>-20.134999999999991</v>
      </c>
      <c r="AA65" s="47">
        <f>AVERAGE(AA64,AA66)</f>
        <v>3.8494999999999999</v>
      </c>
      <c r="AB65" s="48">
        <v>-10</v>
      </c>
      <c r="AC65" s="47">
        <v>-10</v>
      </c>
      <c r="AD65" s="48">
        <f>AVERAGE(AD64,AD66)</f>
        <v>4.9495000000000005</v>
      </c>
      <c r="AE65" s="47">
        <f t="shared" si="49"/>
        <v>-3.13</v>
      </c>
      <c r="AF65" s="48">
        <f t="shared" si="40"/>
        <v>-27.848000000000013</v>
      </c>
      <c r="AG65" s="47">
        <f>AVERAGE(AG64,AG66)</f>
        <v>3.8494999999999999</v>
      </c>
      <c r="AH65" s="48">
        <v>-10</v>
      </c>
      <c r="AI65" s="58">
        <v>-10</v>
      </c>
      <c r="AJ65" s="47"/>
      <c r="AK65" s="50">
        <f t="shared" si="9"/>
        <v>21.652098793079276</v>
      </c>
      <c r="AL65" s="42">
        <f t="shared" si="14"/>
        <v>1E-13</v>
      </c>
      <c r="AM65" s="41">
        <f t="shared" si="15"/>
        <v>1E-13</v>
      </c>
      <c r="AN65" s="42">
        <f t="shared" si="16"/>
        <v>27.861211686297757</v>
      </c>
      <c r="AO65" s="41">
        <f t="shared" si="17"/>
        <v>1.6943378004473325E-11</v>
      </c>
      <c r="AP65" s="42">
        <f t="shared" si="18"/>
        <v>7.3282453313891485E-24</v>
      </c>
      <c r="AQ65" s="41">
        <f t="shared" si="19"/>
        <v>7.0713120068130122</v>
      </c>
      <c r="AR65" s="42">
        <f t="shared" si="20"/>
        <v>1E-13</v>
      </c>
      <c r="AS65" s="41">
        <f t="shared" si="21"/>
        <v>1E-13</v>
      </c>
      <c r="AT65" s="42">
        <f t="shared" si="22"/>
        <v>89.022543801021271</v>
      </c>
      <c r="AU65" s="41">
        <f t="shared" si="23"/>
        <v>7.4131024130091733E-7</v>
      </c>
      <c r="AV65" s="42">
        <f t="shared" si="24"/>
        <v>1.4190575216890383E-31</v>
      </c>
      <c r="AW65" s="41">
        <f t="shared" si="25"/>
        <v>7.0713120068130122</v>
      </c>
      <c r="AX65" s="42">
        <f t="shared" si="26"/>
        <v>1E-13</v>
      </c>
      <c r="AY65" s="52">
        <f t="shared" si="27"/>
        <v>1E-13</v>
      </c>
      <c r="AZ65" s="41"/>
      <c r="BA65" s="59">
        <f t="shared" si="11"/>
        <v>97.302716370313306</v>
      </c>
      <c r="BB65" s="60">
        <f t="shared" si="12"/>
        <v>81.881831252591738</v>
      </c>
    </row>
    <row r="66" spans="2:54">
      <c r="B66" s="53">
        <v>650</v>
      </c>
      <c r="C66" s="54">
        <v>0.28349999999999997</v>
      </c>
      <c r="D66" s="54">
        <v>0.107</v>
      </c>
      <c r="E66" s="55">
        <v>0</v>
      </c>
      <c r="F66" s="54">
        <v>0.26832899999999998</v>
      </c>
      <c r="G66" s="55">
        <v>0.10763300000000001</v>
      </c>
      <c r="H66" s="54">
        <v>0</v>
      </c>
      <c r="I66" s="41">
        <f t="shared" si="7"/>
        <v>164.9925874285872</v>
      </c>
      <c r="J66" s="56">
        <v>103.9</v>
      </c>
      <c r="K66" s="57">
        <v>88.2</v>
      </c>
      <c r="L66" s="56">
        <f t="shared" si="38"/>
        <v>95.708708990810507</v>
      </c>
      <c r="M66" s="57">
        <v>100</v>
      </c>
      <c r="N66" s="57">
        <v>4.68</v>
      </c>
      <c r="O66" s="56">
        <v>10.02</v>
      </c>
      <c r="P66" s="57">
        <v>3.58</v>
      </c>
      <c r="Q66" s="42">
        <f t="shared" si="8"/>
        <v>97.282400777276095</v>
      </c>
      <c r="R66" s="57">
        <v>81.900000000000006</v>
      </c>
      <c r="S66" s="56">
        <v>-10.7</v>
      </c>
      <c r="T66" s="57">
        <v>7.3</v>
      </c>
      <c r="U66" s="80">
        <v>4.2380000000000004</v>
      </c>
      <c r="V66" s="48">
        <v>-10</v>
      </c>
      <c r="W66" s="47">
        <v>-10</v>
      </c>
      <c r="X66" s="48">
        <v>4.2859999999999996</v>
      </c>
      <c r="Y66" s="47">
        <f t="shared" si="47"/>
        <v>-8.6209999999999987</v>
      </c>
      <c r="Z66" s="48">
        <f t="shared" si="37"/>
        <v>-20.83499999999999</v>
      </c>
      <c r="AA66" s="47">
        <v>3.6989999999999998</v>
      </c>
      <c r="AB66" s="48">
        <v>-10</v>
      </c>
      <c r="AC66" s="47">
        <v>-10</v>
      </c>
      <c r="AD66" s="48">
        <v>4.899</v>
      </c>
      <c r="AE66" s="47">
        <f t="shared" si="49"/>
        <v>-3.73</v>
      </c>
      <c r="AF66" s="48">
        <f t="shared" si="40"/>
        <v>-28.948000000000015</v>
      </c>
      <c r="AG66" s="47">
        <v>3.6989999999999998</v>
      </c>
      <c r="AH66" s="48">
        <v>-10</v>
      </c>
      <c r="AI66" s="58">
        <v>-10</v>
      </c>
      <c r="AJ66" s="47"/>
      <c r="AK66" s="50">
        <f t="shared" si="9"/>
        <v>17.298163592151056</v>
      </c>
      <c r="AL66" s="42">
        <f t="shared" si="14"/>
        <v>1E-13</v>
      </c>
      <c r="AM66" s="41">
        <f t="shared" si="15"/>
        <v>1E-13</v>
      </c>
      <c r="AN66" s="42">
        <f t="shared" si="16"/>
        <v>19.319683170169252</v>
      </c>
      <c r="AO66" s="41">
        <f t="shared" si="17"/>
        <v>2.3933157564053871E-12</v>
      </c>
      <c r="AP66" s="42">
        <f t="shared" si="18"/>
        <v>1.4621771744567495E-24</v>
      </c>
      <c r="AQ66" s="41">
        <f t="shared" si="19"/>
        <v>5.0003453497697912</v>
      </c>
      <c r="AR66" s="42">
        <f t="shared" si="20"/>
        <v>1E-13</v>
      </c>
      <c r="AS66" s="41">
        <f t="shared" si="21"/>
        <v>1E-13</v>
      </c>
      <c r="AT66" s="42">
        <f t="shared" si="22"/>
        <v>79.250133048047203</v>
      </c>
      <c r="AU66" s="41">
        <f t="shared" si="23"/>
        <v>1.8620871366628675E-7</v>
      </c>
      <c r="AV66" s="42">
        <f t="shared" si="24"/>
        <v>1.1271974561754632E-32</v>
      </c>
      <c r="AW66" s="41">
        <f t="shared" si="25"/>
        <v>5.0003453497697912</v>
      </c>
      <c r="AX66" s="42">
        <f t="shared" si="26"/>
        <v>1E-13</v>
      </c>
      <c r="AY66" s="52">
        <f t="shared" si="27"/>
        <v>1E-13</v>
      </c>
      <c r="AZ66" s="41"/>
      <c r="BA66" s="59">
        <f t="shared" si="11"/>
        <v>95.708708990810507</v>
      </c>
      <c r="BB66" s="60">
        <f t="shared" si="12"/>
        <v>80.045644329694682</v>
      </c>
    </row>
    <row r="67" spans="2:54">
      <c r="B67" s="53">
        <v>655</v>
      </c>
      <c r="C67" s="54">
        <v>0.21870000000000001</v>
      </c>
      <c r="D67" s="54">
        <v>8.1600000000000006E-2</v>
      </c>
      <c r="E67" s="55">
        <v>0</v>
      </c>
      <c r="F67" s="54">
        <v>0.20430000000000001</v>
      </c>
      <c r="G67" s="55">
        <v>8.1186999999999995E-2</v>
      </c>
      <c r="H67" s="54">
        <v>0</v>
      </c>
      <c r="I67" s="41">
        <f t="shared" si="7"/>
        <v>168.47306224776173</v>
      </c>
      <c r="J67" s="56">
        <v>104.59</v>
      </c>
      <c r="K67" s="57">
        <v>88.2</v>
      </c>
      <c r="L67" s="56">
        <f t="shared" si="38"/>
        <v>96.973304937234232</v>
      </c>
      <c r="M67" s="57">
        <v>100</v>
      </c>
      <c r="N67" s="57">
        <v>4.0199999999999996</v>
      </c>
      <c r="O67" s="56">
        <v>10.11</v>
      </c>
      <c r="P67" s="57">
        <v>3.01</v>
      </c>
      <c r="Q67" s="42">
        <f t="shared" si="8"/>
        <v>96.883931163959971</v>
      </c>
      <c r="R67" s="57">
        <v>82.25</v>
      </c>
      <c r="S67" s="56">
        <v>-11.35</v>
      </c>
      <c r="T67" s="57">
        <v>7.95</v>
      </c>
      <c r="U67" s="80">
        <f>AVERAGE(U66,U68)</f>
        <v>4.1255000000000006</v>
      </c>
      <c r="V67" s="48">
        <v>-10</v>
      </c>
      <c r="W67" s="47">
        <v>-10</v>
      </c>
      <c r="X67" s="48">
        <f>AVERAGE(X66,X68)</f>
        <v>4.093</v>
      </c>
      <c r="Y67" s="47">
        <f t="shared" si="47"/>
        <v>-9.4709999999999983</v>
      </c>
      <c r="Z67" s="48">
        <f t="shared" si="37"/>
        <v>-21.534999999999989</v>
      </c>
      <c r="AA67" s="47">
        <f>AVERAGE(AA66,AA68)</f>
        <v>3.4375</v>
      </c>
      <c r="AB67" s="48">
        <v>-10</v>
      </c>
      <c r="AC67" s="47">
        <v>-10</v>
      </c>
      <c r="AD67" s="48">
        <f>AVERAGE(AD66,AD68)</f>
        <v>4.7385000000000002</v>
      </c>
      <c r="AE67" s="47">
        <f t="shared" si="49"/>
        <v>-4.33</v>
      </c>
      <c r="AF67" s="48">
        <f t="shared" si="40"/>
        <v>-30.048000000000016</v>
      </c>
      <c r="AG67" s="47">
        <f>AVERAGE(AG66,AG68)</f>
        <v>3.4375</v>
      </c>
      <c r="AH67" s="48">
        <v>-10</v>
      </c>
      <c r="AI67" s="58">
        <v>-10</v>
      </c>
      <c r="AJ67" s="47"/>
      <c r="AK67" s="50">
        <f t="shared" si="9"/>
        <v>13.350575895623738</v>
      </c>
      <c r="AL67" s="42">
        <f t="shared" si="14"/>
        <v>1E-13</v>
      </c>
      <c r="AM67" s="41">
        <f t="shared" si="15"/>
        <v>1E-13</v>
      </c>
      <c r="AN67" s="42">
        <f t="shared" si="16"/>
        <v>12.387965865303695</v>
      </c>
      <c r="AO67" s="41">
        <f t="shared" si="17"/>
        <v>3.3806483620598195E-13</v>
      </c>
      <c r="AP67" s="42">
        <f t="shared" si="18"/>
        <v>2.9174270140012285E-25</v>
      </c>
      <c r="AQ67" s="41">
        <f t="shared" si="19"/>
        <v>2.7384196342643636</v>
      </c>
      <c r="AR67" s="42">
        <f t="shared" si="20"/>
        <v>1E-13</v>
      </c>
      <c r="AS67" s="41">
        <f t="shared" si="21"/>
        <v>1E-13</v>
      </c>
      <c r="AT67" s="42">
        <f t="shared" si="22"/>
        <v>54.7646100961895</v>
      </c>
      <c r="AU67" s="41">
        <f t="shared" si="23"/>
        <v>4.6773514128719762E-8</v>
      </c>
      <c r="AV67" s="42">
        <f t="shared" si="24"/>
        <v>8.9536476554955319E-34</v>
      </c>
      <c r="AW67" s="41">
        <f t="shared" si="25"/>
        <v>2.7384196342643636</v>
      </c>
      <c r="AX67" s="42">
        <f t="shared" si="26"/>
        <v>1E-13</v>
      </c>
      <c r="AY67" s="52">
        <f t="shared" si="27"/>
        <v>1E-13</v>
      </c>
      <c r="AZ67" s="41"/>
      <c r="BA67" s="59">
        <f t="shared" si="11"/>
        <v>96.973304937234232</v>
      </c>
      <c r="BB67" s="60">
        <f t="shared" si="12"/>
        <v>80.140795199267799</v>
      </c>
    </row>
    <row r="68" spans="2:54">
      <c r="B68" s="53">
        <v>660</v>
      </c>
      <c r="C68" s="54">
        <v>0.16489999999999999</v>
      </c>
      <c r="D68" s="54">
        <v>6.0999999999999999E-2</v>
      </c>
      <c r="E68" s="55">
        <v>0</v>
      </c>
      <c r="F68" s="54">
        <v>0.15256800000000001</v>
      </c>
      <c r="G68" s="55">
        <v>6.0281000000000001E-2</v>
      </c>
      <c r="H68" s="54">
        <v>0</v>
      </c>
      <c r="I68" s="41">
        <f t="shared" si="7"/>
        <v>171.92310407267729</v>
      </c>
      <c r="J68" s="56">
        <v>105</v>
      </c>
      <c r="K68" s="57">
        <v>87.9</v>
      </c>
      <c r="L68" s="56">
        <f t="shared" si="38"/>
        <v>98.237900883657943</v>
      </c>
      <c r="M68" s="57">
        <v>100</v>
      </c>
      <c r="N68" s="57">
        <v>3.45</v>
      </c>
      <c r="O68" s="56">
        <v>9.8699999999999992</v>
      </c>
      <c r="P68" s="57">
        <v>2.48</v>
      </c>
      <c r="Q68" s="42">
        <f t="shared" si="8"/>
        <v>96.466561291931896</v>
      </c>
      <c r="R68" s="57">
        <v>82.6</v>
      </c>
      <c r="S68" s="56">
        <v>-12</v>
      </c>
      <c r="T68" s="57">
        <v>8.6</v>
      </c>
      <c r="U68" s="80">
        <v>4.0129999999999999</v>
      </c>
      <c r="V68" s="48">
        <v>-10</v>
      </c>
      <c r="W68" s="47">
        <v>-10</v>
      </c>
      <c r="X68" s="48">
        <v>3.9</v>
      </c>
      <c r="Y68" s="47">
        <f t="shared" si="47"/>
        <v>-10.320999999999998</v>
      </c>
      <c r="Z68" s="48">
        <f t="shared" si="37"/>
        <v>-22.234999999999989</v>
      </c>
      <c r="AA68" s="47">
        <v>3.1760000000000002</v>
      </c>
      <c r="AB68" s="48">
        <v>-10</v>
      </c>
      <c r="AC68" s="47">
        <v>-10</v>
      </c>
      <c r="AD68" s="48">
        <v>4.5780000000000003</v>
      </c>
      <c r="AE68" s="47">
        <f t="shared" si="49"/>
        <v>-4.93</v>
      </c>
      <c r="AF68" s="48">
        <f t="shared" si="40"/>
        <v>-31.148000000000017</v>
      </c>
      <c r="AG68" s="47">
        <v>3.1760000000000002</v>
      </c>
      <c r="AH68" s="48">
        <v>-10</v>
      </c>
      <c r="AI68" s="58">
        <v>-10</v>
      </c>
      <c r="AJ68" s="47"/>
      <c r="AK68" s="50">
        <f t="shared" si="9"/>
        <v>10.303861204416172</v>
      </c>
      <c r="AL68" s="42">
        <f t="shared" si="14"/>
        <v>1E-13</v>
      </c>
      <c r="AM68" s="41">
        <f t="shared" si="15"/>
        <v>1E-13</v>
      </c>
      <c r="AN68" s="42">
        <f t="shared" si="16"/>
        <v>7.9432823472428158</v>
      </c>
      <c r="AO68" s="41">
        <f t="shared" si="17"/>
        <v>4.7752927365769187E-14</v>
      </c>
      <c r="AP68" s="42">
        <f t="shared" si="18"/>
        <v>5.8210321777088332E-26</v>
      </c>
      <c r="AQ68" s="41">
        <f t="shared" si="19"/>
        <v>1.4996848355023757</v>
      </c>
      <c r="AR68" s="42">
        <f t="shared" si="20"/>
        <v>1E-13</v>
      </c>
      <c r="AS68" s="41">
        <f t="shared" si="21"/>
        <v>1E-13</v>
      </c>
      <c r="AT68" s="42">
        <f t="shared" si="22"/>
        <v>37.844258471709374</v>
      </c>
      <c r="AU68" s="41">
        <f t="shared" si="23"/>
        <v>1.1748975549395286E-8</v>
      </c>
      <c r="AV68" s="42">
        <f t="shared" si="24"/>
        <v>7.1121351365329406E-35</v>
      </c>
      <c r="AW68" s="41">
        <f t="shared" si="25"/>
        <v>1.4996848355023757</v>
      </c>
      <c r="AX68" s="42">
        <f t="shared" si="26"/>
        <v>1E-13</v>
      </c>
      <c r="AY68" s="52">
        <f t="shared" si="27"/>
        <v>1E-13</v>
      </c>
      <c r="AZ68" s="41"/>
      <c r="BA68" s="59">
        <f t="shared" si="11"/>
        <v>98.237900883657943</v>
      </c>
      <c r="BB68" s="60">
        <f t="shared" si="12"/>
        <v>80.235946068840903</v>
      </c>
    </row>
    <row r="69" spans="2:54">
      <c r="B69" s="53">
        <v>665</v>
      </c>
      <c r="C69" s="54">
        <v>0.1212</v>
      </c>
      <c r="D69" s="54">
        <v>4.4580000000000002E-2</v>
      </c>
      <c r="E69" s="55">
        <v>0</v>
      </c>
      <c r="F69" s="54">
        <v>0.11221</v>
      </c>
      <c r="G69" s="55">
        <v>4.4096000000000003E-2</v>
      </c>
      <c r="H69" s="54">
        <v>0</v>
      </c>
      <c r="I69" s="41">
        <f t="shared" ref="I69:I102" si="50">(100*$BE$12)/(1E-45 * B69*B69*B69*B69*B69*(POWER($BE$11,$BE$13/($BE$17*B69*0.000000001))-1)*$BE$18)</f>
        <v>175.34066087091543</v>
      </c>
      <c r="J69" s="56">
        <v>105.08</v>
      </c>
      <c r="K69" s="57">
        <v>87.22</v>
      </c>
      <c r="L69" s="56">
        <f t="shared" si="38"/>
        <v>100.64827188128595</v>
      </c>
      <c r="M69" s="57">
        <v>100</v>
      </c>
      <c r="N69" s="57">
        <v>2.96</v>
      </c>
      <c r="O69" s="56">
        <v>8.65</v>
      </c>
      <c r="P69" s="57">
        <v>2.14</v>
      </c>
      <c r="Q69" s="42">
        <f t="shared" ref="Q69:Q102" si="51">(100*$BE$12)/(1E-45 * B69*B69*B69*B69*B69*(POWER($BE$11,$BE$13/(Blackbody_Temperature*B69*0.000000001))-1)*$BE$14)</f>
        <v>96.031234951930344</v>
      </c>
      <c r="R69" s="57">
        <v>83.75</v>
      </c>
      <c r="S69" s="56">
        <v>-13</v>
      </c>
      <c r="T69" s="57">
        <v>9.1999999999999993</v>
      </c>
      <c r="U69" s="80">
        <f>AVERAGE(U68,U70)</f>
        <v>3.8810000000000002</v>
      </c>
      <c r="V69" s="48">
        <v>-10</v>
      </c>
      <c r="W69" s="47">
        <v>-10</v>
      </c>
      <c r="X69" s="48">
        <f>AVERAGE(X68,X70)</f>
        <v>3.7255000000000003</v>
      </c>
      <c r="Y69" s="47">
        <f t="shared" si="47"/>
        <v>-11.170999999999998</v>
      </c>
      <c r="Z69" s="48">
        <f t="shared" si="37"/>
        <v>-22.934999999999988</v>
      </c>
      <c r="AA69" s="47">
        <f>AVERAGE(AA68,AA70)</f>
        <v>2.9375</v>
      </c>
      <c r="AB69" s="48">
        <v>-10</v>
      </c>
      <c r="AC69" s="47">
        <v>-10</v>
      </c>
      <c r="AD69" s="48">
        <f>AVERAGE(AD68,AD70)</f>
        <v>4.415</v>
      </c>
      <c r="AE69" s="47">
        <f t="shared" si="49"/>
        <v>-5.5299999999999994</v>
      </c>
      <c r="AF69" s="48">
        <f t="shared" si="40"/>
        <v>-32.248000000000019</v>
      </c>
      <c r="AG69" s="47">
        <f>AVERAGE(AG68,AG70)</f>
        <v>2.9375</v>
      </c>
      <c r="AH69" s="48">
        <v>-10</v>
      </c>
      <c r="AI69" s="58">
        <v>-10</v>
      </c>
      <c r="AJ69" s="47"/>
      <c r="AK69" s="50">
        <f t="shared" ref="AK69:AK102" si="52">POWER(10,U69)/1000</f>
        <v>7.6032627694018258</v>
      </c>
      <c r="AL69" s="42">
        <f t="shared" si="14"/>
        <v>1E-13</v>
      </c>
      <c r="AM69" s="41">
        <f t="shared" si="15"/>
        <v>1E-13</v>
      </c>
      <c r="AN69" s="42">
        <f t="shared" si="16"/>
        <v>5.3149599950664905</v>
      </c>
      <c r="AO69" s="41">
        <f t="shared" si="17"/>
        <v>6.74528027697924E-15</v>
      </c>
      <c r="AP69" s="42">
        <f t="shared" si="18"/>
        <v>1.1614486138403662E-26</v>
      </c>
      <c r="AQ69" s="41">
        <f t="shared" si="19"/>
        <v>0.86596432336006568</v>
      </c>
      <c r="AR69" s="42">
        <f t="shared" si="20"/>
        <v>1E-13</v>
      </c>
      <c r="AS69" s="41">
        <f t="shared" si="21"/>
        <v>1E-13</v>
      </c>
      <c r="AT69" s="42">
        <f t="shared" si="22"/>
        <v>26.00159563165273</v>
      </c>
      <c r="AU69" s="41">
        <f t="shared" si="23"/>
        <v>2.9512092266663842E-9</v>
      </c>
      <c r="AV69" s="42">
        <f t="shared" si="24"/>
        <v>5.6493697481227263E-36</v>
      </c>
      <c r="AW69" s="41">
        <f t="shared" si="25"/>
        <v>0.86596432336006568</v>
      </c>
      <c r="AX69" s="42">
        <f t="shared" si="26"/>
        <v>1E-13</v>
      </c>
      <c r="AY69" s="52">
        <f t="shared" si="27"/>
        <v>1E-13</v>
      </c>
      <c r="AZ69" s="41"/>
      <c r="BA69" s="59">
        <f t="shared" si="11"/>
        <v>100.64827188128595</v>
      </c>
      <c r="BB69" s="60">
        <f t="shared" si="12"/>
        <v>81.26926496499307</v>
      </c>
    </row>
    <row r="70" spans="2:54">
      <c r="B70" s="53">
        <v>670</v>
      </c>
      <c r="C70" s="54">
        <v>8.7400000000000005E-2</v>
      </c>
      <c r="D70" s="54">
        <v>3.2000000000000001E-2</v>
      </c>
      <c r="E70" s="55">
        <v>0</v>
      </c>
      <c r="F70" s="54">
        <v>8.1260600000000002E-2</v>
      </c>
      <c r="G70" s="55">
        <v>3.18004E-2</v>
      </c>
      <c r="H70" s="54">
        <v>0</v>
      </c>
      <c r="I70" s="41">
        <f t="shared" si="50"/>
        <v>178.72377170925287</v>
      </c>
      <c r="J70" s="56">
        <v>104.9</v>
      </c>
      <c r="K70" s="57">
        <v>86.3</v>
      </c>
      <c r="L70" s="56">
        <f t="shared" si="38"/>
        <v>103.05864287891393</v>
      </c>
      <c r="M70" s="57">
        <v>100</v>
      </c>
      <c r="N70" s="57">
        <v>2.5499999999999998</v>
      </c>
      <c r="O70" s="56">
        <v>7.27</v>
      </c>
      <c r="P70" s="57">
        <v>1.54</v>
      </c>
      <c r="Q70" s="42">
        <f t="shared" si="51"/>
        <v>95.578870019432344</v>
      </c>
      <c r="R70" s="57">
        <v>84.9</v>
      </c>
      <c r="S70" s="56">
        <v>-14</v>
      </c>
      <c r="T70" s="57">
        <v>9.8000000000000007</v>
      </c>
      <c r="U70" s="80">
        <v>3.7490000000000001</v>
      </c>
      <c r="V70" s="48">
        <v>-10</v>
      </c>
      <c r="W70" s="47">
        <v>-10</v>
      </c>
      <c r="X70" s="48">
        <v>3.5510000000000002</v>
      </c>
      <c r="Y70" s="47">
        <f t="shared" si="47"/>
        <v>-12.020999999999997</v>
      </c>
      <c r="Z70" s="48">
        <f t="shared" si="37"/>
        <v>-23.634999999999987</v>
      </c>
      <c r="AA70" s="47">
        <v>2.6989999999999998</v>
      </c>
      <c r="AB70" s="48">
        <v>-10</v>
      </c>
      <c r="AC70" s="47">
        <v>-10</v>
      </c>
      <c r="AD70" s="48">
        <v>4.2519999999999998</v>
      </c>
      <c r="AE70" s="47">
        <f t="shared" si="49"/>
        <v>-6.129999999999999</v>
      </c>
      <c r="AF70" s="48">
        <f t="shared" si="40"/>
        <v>-33.34800000000002</v>
      </c>
      <c r="AG70" s="47">
        <v>2.6989999999999998</v>
      </c>
      <c r="AH70" s="48">
        <v>-10</v>
      </c>
      <c r="AI70" s="58">
        <v>-10</v>
      </c>
      <c r="AJ70" s="47"/>
      <c r="AK70" s="50">
        <f t="shared" si="52"/>
        <v>5.6104797603247087</v>
      </c>
      <c r="AL70" s="42">
        <f t="shared" si="14"/>
        <v>1E-13</v>
      </c>
      <c r="AM70" s="41">
        <f t="shared" si="15"/>
        <v>1E-13</v>
      </c>
      <c r="AN70" s="42">
        <f t="shared" si="16"/>
        <v>3.5563131856898553</v>
      </c>
      <c r="AO70" s="41">
        <f t="shared" si="17"/>
        <v>9.5279616402365577E-16</v>
      </c>
      <c r="AP70" s="42">
        <f t="shared" si="18"/>
        <v>2.3173946499685407E-27</v>
      </c>
      <c r="AQ70" s="41">
        <f t="shared" si="19"/>
        <v>0.50003453497697858</v>
      </c>
      <c r="AR70" s="42">
        <f t="shared" si="20"/>
        <v>1E-13</v>
      </c>
      <c r="AS70" s="41">
        <f t="shared" si="21"/>
        <v>1E-13</v>
      </c>
      <c r="AT70" s="42">
        <f t="shared" si="22"/>
        <v>17.864875748520507</v>
      </c>
      <c r="AU70" s="41">
        <f t="shared" si="23"/>
        <v>7.4131024130091877E-10</v>
      </c>
      <c r="AV70" s="42">
        <f t="shared" si="24"/>
        <v>4.4874538993310679E-37</v>
      </c>
      <c r="AW70" s="41">
        <f t="shared" si="25"/>
        <v>0.50003453497697858</v>
      </c>
      <c r="AX70" s="42">
        <f t="shared" si="26"/>
        <v>1E-13</v>
      </c>
      <c r="AY70" s="52">
        <f t="shared" si="27"/>
        <v>1E-13</v>
      </c>
      <c r="AZ70" s="41"/>
      <c r="BA70" s="59">
        <f t="shared" si="11"/>
        <v>103.05864287891393</v>
      </c>
      <c r="BB70" s="60">
        <f t="shared" si="12"/>
        <v>82.302583861145237</v>
      </c>
    </row>
    <row r="71" spans="2:54">
      <c r="B71" s="53">
        <v>675</v>
      </c>
      <c r="C71" s="54">
        <v>6.3600000000000004E-2</v>
      </c>
      <c r="D71" s="54">
        <v>2.3199999999999998E-2</v>
      </c>
      <c r="E71" s="55">
        <v>0</v>
      </c>
      <c r="F71" s="54">
        <v>5.7930000000000002E-2</v>
      </c>
      <c r="G71" s="55">
        <v>2.2601699999999999E-2</v>
      </c>
      <c r="H71" s="54">
        <v>0</v>
      </c>
      <c r="I71" s="41">
        <f t="shared" si="50"/>
        <v>182.0705666202654</v>
      </c>
      <c r="J71" s="56">
        <v>104.55</v>
      </c>
      <c r="K71" s="57">
        <v>85.3</v>
      </c>
      <c r="L71" s="56">
        <f t="shared" si="38"/>
        <v>101.12392843073054</v>
      </c>
      <c r="M71" s="57">
        <v>100</v>
      </c>
      <c r="N71" s="57">
        <v>2.19</v>
      </c>
      <c r="O71" s="56">
        <v>6.44</v>
      </c>
      <c r="P71" s="57">
        <v>1.33</v>
      </c>
      <c r="Q71" s="42">
        <f t="shared" si="51"/>
        <v>95.110358481617439</v>
      </c>
      <c r="R71" s="57">
        <v>83.1</v>
      </c>
      <c r="S71" s="56">
        <v>-13.8</v>
      </c>
      <c r="T71" s="57">
        <v>10</v>
      </c>
      <c r="U71" s="80">
        <f>AVERAGE(U70,U72)</f>
        <v>3.6195000000000004</v>
      </c>
      <c r="V71" s="48">
        <v>-10</v>
      </c>
      <c r="W71" s="47">
        <v>-10</v>
      </c>
      <c r="X71" s="48">
        <f>AVERAGE(X70,X72)</f>
        <v>3.3580000000000001</v>
      </c>
      <c r="Y71" s="47">
        <f t="shared" si="47"/>
        <v>-12.870999999999997</v>
      </c>
      <c r="Z71" s="48">
        <f t="shared" si="37"/>
        <v>-24.334999999999987</v>
      </c>
      <c r="AA71" s="47">
        <f>AVERAGE(AA70,AA72)</f>
        <v>2.5880000000000001</v>
      </c>
      <c r="AB71" s="48">
        <v>-10</v>
      </c>
      <c r="AC71" s="47">
        <v>-10</v>
      </c>
      <c r="AD71" s="48">
        <f>AVERAGE(AD70,AD72)</f>
        <v>4.0634999999999994</v>
      </c>
      <c r="AE71" s="47">
        <f t="shared" si="49"/>
        <v>-6.7299999999999986</v>
      </c>
      <c r="AF71" s="48">
        <f t="shared" si="40"/>
        <v>-34.448000000000022</v>
      </c>
      <c r="AG71" s="47">
        <f>AVERAGE(AG70,AG72)</f>
        <v>2.5880000000000001</v>
      </c>
      <c r="AH71" s="48">
        <v>-10</v>
      </c>
      <c r="AI71" s="58">
        <v>-10</v>
      </c>
      <c r="AJ71" s="47"/>
      <c r="AK71" s="50">
        <f t="shared" si="52"/>
        <v>4.1638972102516485</v>
      </c>
      <c r="AL71" s="42">
        <f t="shared" si="14"/>
        <v>1E-13</v>
      </c>
      <c r="AM71" s="41">
        <f t="shared" si="15"/>
        <v>1E-13</v>
      </c>
      <c r="AN71" s="42">
        <f t="shared" si="16"/>
        <v>2.2803420720004204</v>
      </c>
      <c r="AO71" s="41">
        <f t="shared" si="17"/>
        <v>1.345860354055955E-16</v>
      </c>
      <c r="AP71" s="42">
        <f t="shared" si="18"/>
        <v>4.6238102139927243E-28</v>
      </c>
      <c r="AQ71" s="41">
        <f t="shared" si="19"/>
        <v>0.38725764492161741</v>
      </c>
      <c r="AR71" s="42">
        <f t="shared" si="20"/>
        <v>1E-13</v>
      </c>
      <c r="AS71" s="41">
        <f t="shared" si="21"/>
        <v>1E-13</v>
      </c>
      <c r="AT71" s="42">
        <f t="shared" si="22"/>
        <v>11.57444032092236</v>
      </c>
      <c r="AU71" s="41">
        <f t="shared" si="23"/>
        <v>1.8620871366628713E-10</v>
      </c>
      <c r="AV71" s="42">
        <f t="shared" si="24"/>
        <v>3.5645113342622273E-38</v>
      </c>
      <c r="AW71" s="41">
        <f t="shared" si="25"/>
        <v>0.38725764492161741</v>
      </c>
      <c r="AX71" s="42">
        <f t="shared" si="26"/>
        <v>1E-13</v>
      </c>
      <c r="AY71" s="52">
        <f t="shared" si="27"/>
        <v>1E-13</v>
      </c>
      <c r="AZ71" s="41"/>
      <c r="BA71" s="59">
        <f t="shared" si="11"/>
        <v>101.12392843073054</v>
      </c>
      <c r="BB71" s="60">
        <f t="shared" si="12"/>
        <v>80.305604496775373</v>
      </c>
    </row>
    <row r="72" spans="2:54">
      <c r="B72" s="53">
        <v>680</v>
      </c>
      <c r="C72" s="54">
        <v>4.6769999999999999E-2</v>
      </c>
      <c r="D72" s="54">
        <v>1.7000000000000001E-2</v>
      </c>
      <c r="E72" s="55">
        <v>0</v>
      </c>
      <c r="F72" s="54">
        <v>4.08508E-2</v>
      </c>
      <c r="G72" s="55">
        <v>1.5905099999999998E-2</v>
      </c>
      <c r="H72" s="54">
        <v>0</v>
      </c>
      <c r="I72" s="41">
        <f t="shared" si="50"/>
        <v>185.37926624976816</v>
      </c>
      <c r="J72" s="56">
        <v>103.9</v>
      </c>
      <c r="K72" s="57">
        <v>84</v>
      </c>
      <c r="L72" s="56">
        <f t="shared" ref="L72:L102" si="53">(R72+S72*$BE$7+T72*$BE$8)</f>
        <v>99.189213982547145</v>
      </c>
      <c r="M72" s="57">
        <v>100</v>
      </c>
      <c r="N72" s="57">
        <v>1.89</v>
      </c>
      <c r="O72" s="56">
        <v>5.83</v>
      </c>
      <c r="P72" s="57">
        <v>1.46</v>
      </c>
      <c r="Q72" s="42">
        <f t="shared" si="51"/>
        <v>94.626566526465766</v>
      </c>
      <c r="R72" s="57">
        <v>81.3</v>
      </c>
      <c r="S72" s="56">
        <v>-13.6</v>
      </c>
      <c r="T72" s="57">
        <v>10.199999999999999</v>
      </c>
      <c r="U72" s="80">
        <v>3.49</v>
      </c>
      <c r="V72" s="48">
        <v>-10</v>
      </c>
      <c r="W72" s="47">
        <v>-10</v>
      </c>
      <c r="X72" s="48">
        <v>3.165</v>
      </c>
      <c r="Y72" s="47">
        <f t="shared" si="47"/>
        <v>-13.720999999999997</v>
      </c>
      <c r="Z72" s="48">
        <f t="shared" si="37"/>
        <v>-25.034999999999986</v>
      </c>
      <c r="AA72" s="47">
        <v>2.4769999999999999</v>
      </c>
      <c r="AB72" s="48">
        <v>-10</v>
      </c>
      <c r="AC72" s="47">
        <v>-10</v>
      </c>
      <c r="AD72" s="48">
        <v>3.875</v>
      </c>
      <c r="AE72" s="47">
        <f t="shared" si="49"/>
        <v>-7.3299999999999983</v>
      </c>
      <c r="AF72" s="48">
        <f t="shared" si="40"/>
        <v>-35.548000000000023</v>
      </c>
      <c r="AG72" s="47">
        <v>2.4769999999999999</v>
      </c>
      <c r="AH72" s="48">
        <v>-10</v>
      </c>
      <c r="AI72" s="58">
        <v>-10</v>
      </c>
      <c r="AJ72" s="47"/>
      <c r="AK72" s="50">
        <f t="shared" si="52"/>
        <v>3.0902954325135918</v>
      </c>
      <c r="AL72" s="42">
        <f t="shared" si="14"/>
        <v>1E-13</v>
      </c>
      <c r="AM72" s="41">
        <f t="shared" si="15"/>
        <v>1E-13</v>
      </c>
      <c r="AN72" s="42">
        <f t="shared" si="16"/>
        <v>1.4621771744567196</v>
      </c>
      <c r="AO72" s="41">
        <f t="shared" si="17"/>
        <v>1.9010782799233114E-17</v>
      </c>
      <c r="AP72" s="42">
        <f t="shared" si="18"/>
        <v>9.2257142715478719E-29</v>
      </c>
      <c r="AQ72" s="41">
        <f t="shared" si="19"/>
        <v>0.29991625189876508</v>
      </c>
      <c r="AR72" s="42">
        <f t="shared" si="20"/>
        <v>1E-13</v>
      </c>
      <c r="AS72" s="41">
        <f t="shared" si="21"/>
        <v>1E-13</v>
      </c>
      <c r="AT72" s="42">
        <f t="shared" si="22"/>
        <v>7.4989420933245601</v>
      </c>
      <c r="AU72" s="41">
        <f t="shared" si="23"/>
        <v>4.6773514128719943E-11</v>
      </c>
      <c r="AV72" s="42">
        <f t="shared" si="24"/>
        <v>2.8313919957991977E-39</v>
      </c>
      <c r="AW72" s="41">
        <f t="shared" si="25"/>
        <v>0.29991625189876508</v>
      </c>
      <c r="AX72" s="42">
        <f t="shared" si="26"/>
        <v>1E-13</v>
      </c>
      <c r="AY72" s="52">
        <f t="shared" si="27"/>
        <v>1E-13</v>
      </c>
      <c r="AZ72" s="41"/>
      <c r="BA72" s="59">
        <f t="shared" si="11"/>
        <v>99.189213982547145</v>
      </c>
      <c r="BB72" s="60">
        <f t="shared" si="12"/>
        <v>78.308625132405524</v>
      </c>
    </row>
    <row r="73" spans="2:54">
      <c r="B73" s="53">
        <v>685</v>
      </c>
      <c r="C73" s="54">
        <v>3.2899999999999999E-2</v>
      </c>
      <c r="D73" s="54">
        <v>1.192E-2</v>
      </c>
      <c r="E73" s="55">
        <v>0</v>
      </c>
      <c r="F73" s="54">
        <v>2.8622999999999999E-2</v>
      </c>
      <c r="G73" s="55">
        <v>1.1130299999999999E-2</v>
      </c>
      <c r="H73" s="54">
        <v>0</v>
      </c>
      <c r="I73" s="41">
        <f t="shared" si="50"/>
        <v>188.64818130122279</v>
      </c>
      <c r="J73" s="56">
        <v>102.84</v>
      </c>
      <c r="K73" s="57">
        <v>82.21</v>
      </c>
      <c r="L73" s="56">
        <f t="shared" si="53"/>
        <v>93.308545049660893</v>
      </c>
      <c r="M73" s="57">
        <v>100</v>
      </c>
      <c r="N73" s="57">
        <v>1.64</v>
      </c>
      <c r="O73" s="56">
        <v>5.41</v>
      </c>
      <c r="P73" s="57">
        <v>1.94</v>
      </c>
      <c r="Q73" s="42">
        <f t="shared" si="51"/>
        <v>94.128334688007257</v>
      </c>
      <c r="R73" s="57">
        <v>76.599999999999994</v>
      </c>
      <c r="S73" s="56">
        <v>-12.8</v>
      </c>
      <c r="T73" s="57">
        <v>9.25</v>
      </c>
      <c r="U73" s="80">
        <f>AVERAGE(U72,U74)</f>
        <v>3.3390000000000004</v>
      </c>
      <c r="V73" s="48">
        <v>-10</v>
      </c>
      <c r="W73" s="47">
        <v>-10</v>
      </c>
      <c r="X73" s="48">
        <f>AVERAGE(X72,X74)</f>
        <v>2.9704999999999999</v>
      </c>
      <c r="Y73" s="47">
        <f t="shared" si="47"/>
        <v>-14.570999999999996</v>
      </c>
      <c r="Z73" s="48">
        <f t="shared" si="37"/>
        <v>-25.734999999999985</v>
      </c>
      <c r="AA73" s="47">
        <f>AVERAGE(AA72,AA74)</f>
        <v>2.3265000000000002</v>
      </c>
      <c r="AB73" s="48">
        <v>-10</v>
      </c>
      <c r="AC73" s="47">
        <v>-10</v>
      </c>
      <c r="AD73" s="48">
        <f>AVERAGE(AD72,AD74)</f>
        <v>3.6829999999999998</v>
      </c>
      <c r="AE73" s="47">
        <f t="shared" si="49"/>
        <v>-7.9299999999999979</v>
      </c>
      <c r="AF73" s="48">
        <f t="shared" si="40"/>
        <v>-36.648000000000025</v>
      </c>
      <c r="AG73" s="47">
        <f>AVERAGE(AG72,AG74)</f>
        <v>2.3265000000000002</v>
      </c>
      <c r="AH73" s="48">
        <v>-10</v>
      </c>
      <c r="AI73" s="58">
        <v>-10</v>
      </c>
      <c r="AJ73" s="47"/>
      <c r="AK73" s="50">
        <f t="shared" si="52"/>
        <v>2.1827299118430061</v>
      </c>
      <c r="AL73" s="42">
        <f t="shared" si="14"/>
        <v>1E-13</v>
      </c>
      <c r="AM73" s="41">
        <f t="shared" si="15"/>
        <v>1E-13</v>
      </c>
      <c r="AN73" s="42">
        <f t="shared" si="16"/>
        <v>0.93432936825731439</v>
      </c>
      <c r="AO73" s="41">
        <f t="shared" si="17"/>
        <v>2.6853444456585266E-18</v>
      </c>
      <c r="AP73" s="42">
        <f t="shared" si="18"/>
        <v>1.8407720014690031E-29</v>
      </c>
      <c r="AQ73" s="41">
        <f t="shared" si="19"/>
        <v>0.21208013930900951</v>
      </c>
      <c r="AR73" s="42">
        <f t="shared" si="20"/>
        <v>1E-13</v>
      </c>
      <c r="AS73" s="41">
        <f t="shared" si="21"/>
        <v>1E-13</v>
      </c>
      <c r="AT73" s="42">
        <f t="shared" si="22"/>
        <v>4.8194779762512763</v>
      </c>
      <c r="AU73" s="41">
        <f t="shared" si="23"/>
        <v>1.174897554939535E-11</v>
      </c>
      <c r="AV73" s="42">
        <f t="shared" si="24"/>
        <v>2.2490546058356289E-40</v>
      </c>
      <c r="AW73" s="41">
        <f t="shared" si="25"/>
        <v>0.21208013930900951</v>
      </c>
      <c r="AX73" s="42">
        <f t="shared" si="26"/>
        <v>1E-13</v>
      </c>
      <c r="AY73" s="52">
        <f t="shared" si="27"/>
        <v>1E-13</v>
      </c>
      <c r="AZ73" s="41"/>
      <c r="BA73" s="59">
        <f t="shared" ref="BA73:BA102" si="54">(R73+S73*$BE$26+T73*$BE$27)</f>
        <v>93.308545049660893</v>
      </c>
      <c r="BB73" s="60">
        <f t="shared" ref="BB73:BB102" si="55">(R73+S73*$BE$35+T73*$BE$36)</f>
        <v>74.02555853115733</v>
      </c>
    </row>
    <row r="74" spans="2:54">
      <c r="B74" s="53">
        <v>690</v>
      </c>
      <c r="C74" s="54">
        <v>2.2700000000000001E-2</v>
      </c>
      <c r="D74" s="54">
        <v>8.2100000000000003E-3</v>
      </c>
      <c r="E74" s="55">
        <v>0</v>
      </c>
      <c r="F74" s="54">
        <v>1.9941299999999999E-2</v>
      </c>
      <c r="G74" s="55">
        <v>7.7488000000000001E-3</v>
      </c>
      <c r="H74" s="54">
        <v>0</v>
      </c>
      <c r="I74" s="41">
        <f t="shared" si="50"/>
        <v>191.8757117927525</v>
      </c>
      <c r="J74" s="56">
        <v>101.6</v>
      </c>
      <c r="K74" s="57">
        <v>80.2</v>
      </c>
      <c r="L74" s="56">
        <f t="shared" si="53"/>
        <v>87.427876116774641</v>
      </c>
      <c r="M74" s="57">
        <v>100</v>
      </c>
      <c r="N74" s="57">
        <v>1.53</v>
      </c>
      <c r="O74" s="56">
        <v>5.04</v>
      </c>
      <c r="P74" s="57">
        <v>2</v>
      </c>
      <c r="Q74" s="42">
        <f t="shared" si="51"/>
        <v>93.616478042130154</v>
      </c>
      <c r="R74" s="57">
        <v>71.900000000000006</v>
      </c>
      <c r="S74" s="56">
        <v>-12</v>
      </c>
      <c r="T74" s="57">
        <v>8.3000000000000007</v>
      </c>
      <c r="U74" s="80">
        <v>3.1880000000000002</v>
      </c>
      <c r="V74" s="48">
        <v>-10</v>
      </c>
      <c r="W74" s="47">
        <v>-10</v>
      </c>
      <c r="X74" s="48">
        <v>2.7759999999999998</v>
      </c>
      <c r="Y74" s="47">
        <f t="shared" si="47"/>
        <v>-15.420999999999996</v>
      </c>
      <c r="Z74" s="48">
        <f t="shared" si="37"/>
        <v>-26.434999999999985</v>
      </c>
      <c r="AA74" s="47">
        <v>2.1760000000000002</v>
      </c>
      <c r="AB74" s="48">
        <v>-10</v>
      </c>
      <c r="AC74" s="47">
        <v>-10</v>
      </c>
      <c r="AD74" s="48">
        <v>3.4910000000000001</v>
      </c>
      <c r="AE74" s="47">
        <f t="shared" si="49"/>
        <v>-8.5299999999999976</v>
      </c>
      <c r="AF74" s="48">
        <f t="shared" si="40"/>
        <v>-37.748000000000026</v>
      </c>
      <c r="AG74" s="47">
        <v>2.1760000000000002</v>
      </c>
      <c r="AH74" s="48">
        <v>-10</v>
      </c>
      <c r="AI74" s="58">
        <v>-10</v>
      </c>
      <c r="AJ74" s="47"/>
      <c r="AK74" s="50">
        <f t="shared" si="52"/>
        <v>1.541700452949561</v>
      </c>
      <c r="AL74" s="42">
        <f t="shared" si="14"/>
        <v>1E-13</v>
      </c>
      <c r="AM74" s="41">
        <f t="shared" si="15"/>
        <v>1E-13</v>
      </c>
      <c r="AN74" s="42">
        <f t="shared" si="16"/>
        <v>0.59703528658383687</v>
      </c>
      <c r="AO74" s="41">
        <f t="shared" si="17"/>
        <v>3.7931498497368501E-19</v>
      </c>
      <c r="AP74" s="42">
        <f t="shared" si="18"/>
        <v>3.6728230049809654E-30</v>
      </c>
      <c r="AQ74" s="41">
        <f t="shared" si="19"/>
        <v>0.14996848355023754</v>
      </c>
      <c r="AR74" s="42">
        <f t="shared" si="20"/>
        <v>1E-13</v>
      </c>
      <c r="AS74" s="41">
        <f t="shared" si="21"/>
        <v>1E-13</v>
      </c>
      <c r="AT74" s="42">
        <f t="shared" si="22"/>
        <v>3.0974192992165834</v>
      </c>
      <c r="AU74" s="41">
        <f t="shared" si="23"/>
        <v>2.951209226666396E-12</v>
      </c>
      <c r="AV74" s="42">
        <f t="shared" si="24"/>
        <v>1.786487574851923E-41</v>
      </c>
      <c r="AW74" s="41">
        <f t="shared" si="25"/>
        <v>0.14996848355023754</v>
      </c>
      <c r="AX74" s="42">
        <f t="shared" si="26"/>
        <v>1E-13</v>
      </c>
      <c r="AY74" s="52">
        <f t="shared" si="27"/>
        <v>1E-13</v>
      </c>
      <c r="AZ74" s="41"/>
      <c r="BA74" s="59">
        <f t="shared" si="54"/>
        <v>87.427876116774641</v>
      </c>
      <c r="BB74" s="60">
        <f t="shared" si="55"/>
        <v>69.742491929909121</v>
      </c>
    </row>
    <row r="75" spans="2:54">
      <c r="B75" s="65">
        <v>695</v>
      </c>
      <c r="C75" s="66">
        <v>1.584E-2</v>
      </c>
      <c r="D75" s="66">
        <v>5.7229999999999998E-3</v>
      </c>
      <c r="E75" s="67">
        <v>0</v>
      </c>
      <c r="F75" s="66">
        <v>1.3842E-2</v>
      </c>
      <c r="G75" s="67">
        <v>5.3750999999999998E-3</v>
      </c>
      <c r="H75" s="66">
        <v>0</v>
      </c>
      <c r="I75" s="68">
        <f t="shared" si="50"/>
        <v>195.06034614189565</v>
      </c>
      <c r="J75" s="69">
        <v>100.38</v>
      </c>
      <c r="K75" s="70">
        <v>78.239999999999995</v>
      </c>
      <c r="L75" s="69">
        <f t="shared" si="53"/>
        <v>89.542472063198375</v>
      </c>
      <c r="M75" s="70">
        <v>100</v>
      </c>
      <c r="N75" s="70">
        <v>1.27</v>
      </c>
      <c r="O75" s="69">
        <v>4.57</v>
      </c>
      <c r="P75" s="70">
        <v>1.2</v>
      </c>
      <c r="Q75" s="68">
        <f t="shared" si="51"/>
        <v>93.09178644773796</v>
      </c>
      <c r="R75" s="70">
        <v>73.099999999999994</v>
      </c>
      <c r="S75" s="69">
        <v>-12.65</v>
      </c>
      <c r="T75" s="70">
        <v>8.9499999999999993</v>
      </c>
      <c r="U75" s="93">
        <f>AVERAGE(U74,U76)</f>
        <v>3.0445000000000002</v>
      </c>
      <c r="V75" s="72">
        <v>-10</v>
      </c>
      <c r="W75" s="73">
        <v>-10</v>
      </c>
      <c r="X75" s="72">
        <f>AVERAGE(X74,X76)</f>
        <v>2.5794999999999999</v>
      </c>
      <c r="Y75" s="73">
        <f t="shared" si="47"/>
        <v>-16.270999999999997</v>
      </c>
      <c r="Z75" s="72">
        <f t="shared" si="37"/>
        <v>-27.134999999999984</v>
      </c>
      <c r="AA75" s="73">
        <f>AVERAGE(AA74,AA76)</f>
        <v>1.9375</v>
      </c>
      <c r="AB75" s="72">
        <v>-10</v>
      </c>
      <c r="AC75" s="73">
        <v>-10</v>
      </c>
      <c r="AD75" s="72">
        <f>AVERAGE(AD74,AD76)</f>
        <v>3.2949999999999999</v>
      </c>
      <c r="AE75" s="73">
        <f t="shared" si="49"/>
        <v>-9.1299999999999972</v>
      </c>
      <c r="AF75" s="72">
        <f t="shared" si="40"/>
        <v>-38.848000000000027</v>
      </c>
      <c r="AG75" s="73">
        <f>AVERAGE(AG74,AG76)</f>
        <v>1.9375</v>
      </c>
      <c r="AH75" s="72">
        <v>-10</v>
      </c>
      <c r="AI75" s="74">
        <v>-10</v>
      </c>
      <c r="AJ75" s="47"/>
      <c r="AK75" s="75">
        <f t="shared" si="52"/>
        <v>1.1078985653742897</v>
      </c>
      <c r="AL75" s="68">
        <f t="shared" si="14"/>
        <v>1E-13</v>
      </c>
      <c r="AM75" s="76">
        <f t="shared" si="15"/>
        <v>1E-13</v>
      </c>
      <c r="AN75" s="68">
        <f t="shared" si="16"/>
        <v>0.37975193897133308</v>
      </c>
      <c r="AO75" s="76">
        <f t="shared" si="17"/>
        <v>5.3579665751334259E-20</v>
      </c>
      <c r="AP75" s="68">
        <f t="shared" si="18"/>
        <v>7.3282453313892741E-31</v>
      </c>
      <c r="AQ75" s="76">
        <f t="shared" si="19"/>
        <v>8.6596432336006543E-2</v>
      </c>
      <c r="AR75" s="68">
        <f t="shared" si="20"/>
        <v>1E-13</v>
      </c>
      <c r="AS75" s="76">
        <f t="shared" si="21"/>
        <v>1E-13</v>
      </c>
      <c r="AT75" s="68">
        <f t="shared" si="22"/>
        <v>1.9724227361148547</v>
      </c>
      <c r="AU75" s="76">
        <f t="shared" si="23"/>
        <v>7.4131024130092161E-13</v>
      </c>
      <c r="AV75" s="68">
        <f t="shared" si="24"/>
        <v>1.4190575216889856E-42</v>
      </c>
      <c r="AW75" s="76">
        <f t="shared" si="25"/>
        <v>8.6596432336006543E-2</v>
      </c>
      <c r="AX75" s="68">
        <f t="shared" si="26"/>
        <v>1E-13</v>
      </c>
      <c r="AY75" s="77">
        <f t="shared" si="27"/>
        <v>1E-13</v>
      </c>
      <c r="AZ75" s="41"/>
      <c r="BA75" s="78">
        <f t="shared" si="54"/>
        <v>89.542472063198375</v>
      </c>
      <c r="BB75" s="79">
        <f t="shared" si="55"/>
        <v>70.687642799482248</v>
      </c>
    </row>
    <row r="76" spans="2:54">
      <c r="B76" s="53">
        <v>700</v>
      </c>
      <c r="C76" s="54">
        <v>1.135916E-2</v>
      </c>
      <c r="D76" s="54">
        <v>4.1019999999999997E-3</v>
      </c>
      <c r="E76" s="55">
        <v>0</v>
      </c>
      <c r="F76" s="54">
        <v>9.5768799999999994E-3</v>
      </c>
      <c r="G76" s="55">
        <v>3.7177400000000002E-3</v>
      </c>
      <c r="H76" s="54">
        <v>0</v>
      </c>
      <c r="I76" s="41">
        <f t="shared" si="50"/>
        <v>198.20066009267015</v>
      </c>
      <c r="J76" s="56">
        <v>99.1</v>
      </c>
      <c r="K76" s="57">
        <v>76.3</v>
      </c>
      <c r="L76" s="56">
        <f t="shared" si="53"/>
        <v>91.657068009622108</v>
      </c>
      <c r="M76" s="57">
        <v>100</v>
      </c>
      <c r="N76" s="57">
        <v>1.1000000000000001</v>
      </c>
      <c r="O76" s="56">
        <v>4.12</v>
      </c>
      <c r="P76" s="57">
        <v>1.35</v>
      </c>
      <c r="Q76" s="42">
        <f t="shared" si="51"/>
        <v>92.55502482840123</v>
      </c>
      <c r="R76" s="57">
        <v>74.3</v>
      </c>
      <c r="S76" s="56">
        <v>-13.3</v>
      </c>
      <c r="T76" s="57">
        <v>9.6</v>
      </c>
      <c r="U76" s="80">
        <v>2.9009999999999998</v>
      </c>
      <c r="V76" s="48">
        <v>-10</v>
      </c>
      <c r="W76" s="47">
        <v>-10</v>
      </c>
      <c r="X76" s="48">
        <v>2.383</v>
      </c>
      <c r="Y76" s="47">
        <f t="shared" si="47"/>
        <v>-17.120999999999999</v>
      </c>
      <c r="Z76" s="48">
        <f t="shared" si="37"/>
        <v>-27.834999999999983</v>
      </c>
      <c r="AA76" s="47">
        <v>1.6990000000000001</v>
      </c>
      <c r="AB76" s="48">
        <v>-10</v>
      </c>
      <c r="AC76" s="47">
        <v>-10</v>
      </c>
      <c r="AD76" s="48">
        <v>3.0990000000000002</v>
      </c>
      <c r="AE76" s="47">
        <f t="shared" si="49"/>
        <v>-9.7299999999999969</v>
      </c>
      <c r="AF76" s="48">
        <f t="shared" si="40"/>
        <v>-39.948000000000029</v>
      </c>
      <c r="AG76" s="47">
        <v>1.6990000000000001</v>
      </c>
      <c r="AH76" s="48">
        <v>-10</v>
      </c>
      <c r="AI76" s="58">
        <v>-10</v>
      </c>
      <c r="AJ76" s="47"/>
      <c r="AK76" s="50">
        <f t="shared" si="52"/>
        <v>0.79615935041731911</v>
      </c>
      <c r="AL76" s="42">
        <f t="shared" si="14"/>
        <v>1E-13</v>
      </c>
      <c r="AM76" s="41">
        <f t="shared" si="15"/>
        <v>1E-13</v>
      </c>
      <c r="AN76" s="42">
        <f t="shared" si="16"/>
        <v>0.24154608344449421</v>
      </c>
      <c r="AO76" s="41">
        <f t="shared" si="17"/>
        <v>7.5683289502097121E-21</v>
      </c>
      <c r="AP76" s="42">
        <f t="shared" si="18"/>
        <v>1.4621771744567743E-31</v>
      </c>
      <c r="AQ76" s="41">
        <f t="shared" si="19"/>
        <v>5.0003453497697872E-2</v>
      </c>
      <c r="AR76" s="42">
        <f t="shared" si="20"/>
        <v>1E-13</v>
      </c>
      <c r="AS76" s="41">
        <f t="shared" si="21"/>
        <v>1E-13</v>
      </c>
      <c r="AT76" s="42">
        <f t="shared" si="22"/>
        <v>1.2560299636948757</v>
      </c>
      <c r="AU76" s="41">
        <f t="shared" si="23"/>
        <v>1.8620871366628752E-13</v>
      </c>
      <c r="AV76" s="42">
        <f t="shared" si="24"/>
        <v>1.1271974561754216E-43</v>
      </c>
      <c r="AW76" s="41">
        <f t="shared" si="25"/>
        <v>5.0003453497697872E-2</v>
      </c>
      <c r="AX76" s="42">
        <f t="shared" si="26"/>
        <v>1E-13</v>
      </c>
      <c r="AY76" s="52">
        <f t="shared" si="27"/>
        <v>1E-13</v>
      </c>
      <c r="AZ76" s="41"/>
      <c r="BA76" s="59">
        <f t="shared" si="54"/>
        <v>91.657068009622108</v>
      </c>
      <c r="BB76" s="60">
        <f t="shared" si="55"/>
        <v>71.632793669055374</v>
      </c>
    </row>
    <row r="77" spans="2:54">
      <c r="B77" s="53">
        <v>705</v>
      </c>
      <c r="C77" s="54">
        <v>8.1109159999999993E-3</v>
      </c>
      <c r="D77" s="54">
        <v>2.9290000000000002E-3</v>
      </c>
      <c r="E77" s="55">
        <v>0</v>
      </c>
      <c r="F77" s="54">
        <v>6.6052000000000003E-3</v>
      </c>
      <c r="G77" s="55">
        <v>2.56456E-3</v>
      </c>
      <c r="H77" s="54">
        <v>0</v>
      </c>
      <c r="I77" s="41">
        <f t="shared" si="50"/>
        <v>201.29531549897527</v>
      </c>
      <c r="J77" s="56">
        <v>97.7</v>
      </c>
      <c r="K77" s="57">
        <v>74.36</v>
      </c>
      <c r="L77" s="56">
        <f t="shared" si="53"/>
        <v>92.297291644230413</v>
      </c>
      <c r="M77" s="57">
        <v>100</v>
      </c>
      <c r="N77" s="57">
        <v>0.99</v>
      </c>
      <c r="O77" s="56">
        <v>3.77</v>
      </c>
      <c r="P77" s="57">
        <v>4.0999999999999996</v>
      </c>
      <c r="Q77" s="42">
        <f t="shared" si="51"/>
        <v>92.006933489990757</v>
      </c>
      <c r="R77" s="57">
        <v>75.349999999999994</v>
      </c>
      <c r="S77" s="56">
        <v>-13.1</v>
      </c>
      <c r="T77" s="57">
        <v>9.0500000000000007</v>
      </c>
      <c r="U77" s="80">
        <f>AVERAGE(U76,U78)</f>
        <v>2.7614999999999998</v>
      </c>
      <c r="V77" s="48">
        <v>-10</v>
      </c>
      <c r="W77" s="47">
        <v>-10</v>
      </c>
      <c r="X77" s="48">
        <f>AVERAGE(X76,X78)</f>
        <v>2.1764999999999999</v>
      </c>
      <c r="Y77" s="47">
        <f t="shared" si="47"/>
        <v>-17.971</v>
      </c>
      <c r="Z77" s="48">
        <f t="shared" si="37"/>
        <v>-28.534999999999982</v>
      </c>
      <c r="AA77" s="47">
        <f>AVERAGE(AA76,AA78)</f>
        <v>1.3494999999999999</v>
      </c>
      <c r="AB77" s="48">
        <v>-10</v>
      </c>
      <c r="AC77" s="47">
        <v>-10</v>
      </c>
      <c r="AD77" s="48">
        <f>AVERAGE(AD76,AD78)</f>
        <v>2.8929999999999998</v>
      </c>
      <c r="AE77" s="47">
        <f t="shared" si="49"/>
        <v>-10.329999999999997</v>
      </c>
      <c r="AF77" s="48">
        <f t="shared" si="40"/>
        <v>-41.04800000000003</v>
      </c>
      <c r="AG77" s="47">
        <f>AVERAGE(AG76,AG78)</f>
        <v>1.3494999999999999</v>
      </c>
      <c r="AH77" s="48">
        <v>-10</v>
      </c>
      <c r="AI77" s="58">
        <v>-10</v>
      </c>
      <c r="AJ77" s="47"/>
      <c r="AK77" s="50">
        <f t="shared" si="52"/>
        <v>0.57743087271398574</v>
      </c>
      <c r="AL77" s="42">
        <f t="shared" si="14"/>
        <v>1E-13</v>
      </c>
      <c r="AM77" s="41">
        <f t="shared" si="15"/>
        <v>1E-13</v>
      </c>
      <c r="AN77" s="42">
        <f t="shared" si="16"/>
        <v>0.15014124057541381</v>
      </c>
      <c r="AO77" s="41">
        <f t="shared" si="17"/>
        <v>1.0690548792226546E-21</v>
      </c>
      <c r="AP77" s="42">
        <f t="shared" si="18"/>
        <v>2.9174270140012575E-32</v>
      </c>
      <c r="AQ77" s="41">
        <f t="shared" si="19"/>
        <v>2.2361451987225216E-2</v>
      </c>
      <c r="AR77" s="42">
        <f t="shared" si="20"/>
        <v>1E-13</v>
      </c>
      <c r="AS77" s="41">
        <f t="shared" si="21"/>
        <v>1E-13</v>
      </c>
      <c r="AT77" s="42">
        <f t="shared" si="22"/>
        <v>0.78162780458832981</v>
      </c>
      <c r="AU77" s="41">
        <f t="shared" si="23"/>
        <v>4.677351412872011E-14</v>
      </c>
      <c r="AV77" s="42">
        <f t="shared" si="24"/>
        <v>8.9536476554951999E-45</v>
      </c>
      <c r="AW77" s="41">
        <f t="shared" si="25"/>
        <v>2.2361451987225216E-2</v>
      </c>
      <c r="AX77" s="42">
        <f t="shared" si="26"/>
        <v>1E-13</v>
      </c>
      <c r="AY77" s="52">
        <f t="shared" si="27"/>
        <v>1E-13</v>
      </c>
      <c r="AZ77" s="41"/>
      <c r="BA77" s="59">
        <f t="shared" si="54"/>
        <v>92.297291644230413</v>
      </c>
      <c r="BB77" s="60">
        <f t="shared" si="55"/>
        <v>73.002178957356023</v>
      </c>
    </row>
    <row r="78" spans="2:54">
      <c r="B78" s="53">
        <v>710</v>
      </c>
      <c r="C78" s="54">
        <v>5.790346E-3</v>
      </c>
      <c r="D78" s="54">
        <v>2.091E-3</v>
      </c>
      <c r="E78" s="55">
        <v>0</v>
      </c>
      <c r="F78" s="54">
        <v>4.5526300000000002E-3</v>
      </c>
      <c r="G78" s="55">
        <v>1.7684700000000001E-3</v>
      </c>
      <c r="H78" s="54">
        <v>0</v>
      </c>
      <c r="I78" s="41">
        <f t="shared" si="50"/>
        <v>204.34305897776082</v>
      </c>
      <c r="J78" s="56">
        <v>96.2</v>
      </c>
      <c r="K78" s="57">
        <v>72.400000000000006</v>
      </c>
      <c r="L78" s="56">
        <f t="shared" si="53"/>
        <v>92.937515278838731</v>
      </c>
      <c r="M78" s="57">
        <v>100</v>
      </c>
      <c r="N78" s="57">
        <v>0.88</v>
      </c>
      <c r="O78" s="56">
        <v>3.46</v>
      </c>
      <c r="P78" s="57">
        <v>5.58</v>
      </c>
      <c r="Q78" s="42">
        <f t="shared" si="51"/>
        <v>91.448228470105192</v>
      </c>
      <c r="R78" s="57">
        <v>76.400000000000006</v>
      </c>
      <c r="S78" s="56">
        <v>-12.9</v>
      </c>
      <c r="T78" s="57">
        <v>8.5</v>
      </c>
      <c r="U78" s="80">
        <v>2.6219999999999999</v>
      </c>
      <c r="V78" s="48">
        <v>-10</v>
      </c>
      <c r="W78" s="47">
        <v>-10</v>
      </c>
      <c r="X78" s="48">
        <v>1.97</v>
      </c>
      <c r="Y78" s="47">
        <f t="shared" si="47"/>
        <v>-18.821000000000002</v>
      </c>
      <c r="Z78" s="48">
        <f t="shared" si="37"/>
        <v>-29.234999999999982</v>
      </c>
      <c r="AA78" s="47">
        <v>1</v>
      </c>
      <c r="AB78" s="48">
        <v>-10</v>
      </c>
      <c r="AC78" s="47">
        <v>-10</v>
      </c>
      <c r="AD78" s="48">
        <v>2.6869999999999998</v>
      </c>
      <c r="AE78" s="47">
        <f t="shared" si="49"/>
        <v>-10.929999999999996</v>
      </c>
      <c r="AF78" s="48">
        <f t="shared" si="40"/>
        <v>-42.148000000000032</v>
      </c>
      <c r="AG78" s="47">
        <v>1</v>
      </c>
      <c r="AH78" s="48">
        <v>-10</v>
      </c>
      <c r="AI78" s="58">
        <v>-10</v>
      </c>
      <c r="AJ78" s="47"/>
      <c r="AK78" s="50">
        <f t="shared" si="52"/>
        <v>0.41879356511791849</v>
      </c>
      <c r="AL78" s="42">
        <f t="shared" si="14"/>
        <v>1E-13</v>
      </c>
      <c r="AM78" s="41">
        <f t="shared" si="15"/>
        <v>1E-13</v>
      </c>
      <c r="AN78" s="42">
        <f t="shared" si="16"/>
        <v>9.3325430079699179E-2</v>
      </c>
      <c r="AO78" s="41">
        <f t="shared" si="17"/>
        <v>1.5100801541641343E-22</v>
      </c>
      <c r="AP78" s="42">
        <f t="shared" si="18"/>
        <v>5.8210321777089337E-33</v>
      </c>
      <c r="AQ78" s="41">
        <f t="shared" si="19"/>
        <v>0.01</v>
      </c>
      <c r="AR78" s="42">
        <f t="shared" si="20"/>
        <v>1E-13</v>
      </c>
      <c r="AS78" s="41">
        <f t="shared" si="21"/>
        <v>1E-13</v>
      </c>
      <c r="AT78" s="42">
        <f t="shared" si="22"/>
        <v>0.4864072056914619</v>
      </c>
      <c r="AU78" s="41">
        <f t="shared" si="23"/>
        <v>1.1748975549395353E-14</v>
      </c>
      <c r="AV78" s="42">
        <f t="shared" si="24"/>
        <v>7.1121351365326775E-46</v>
      </c>
      <c r="AW78" s="41">
        <f t="shared" si="25"/>
        <v>0.01</v>
      </c>
      <c r="AX78" s="42">
        <f t="shared" si="26"/>
        <v>1E-13</v>
      </c>
      <c r="AY78" s="52">
        <f t="shared" si="27"/>
        <v>1E-13</v>
      </c>
      <c r="AZ78" s="41"/>
      <c r="BA78" s="59">
        <f t="shared" si="54"/>
        <v>92.937515278838731</v>
      </c>
      <c r="BB78" s="60">
        <f t="shared" si="55"/>
        <v>74.371564245656714</v>
      </c>
    </row>
    <row r="79" spans="2:54">
      <c r="B79" s="53">
        <v>715</v>
      </c>
      <c r="C79" s="54">
        <v>4.1094570000000004E-3</v>
      </c>
      <c r="D79" s="54">
        <v>1.4840000000000001E-3</v>
      </c>
      <c r="E79" s="55">
        <v>0</v>
      </c>
      <c r="F79" s="54">
        <v>3.1446999999999998E-3</v>
      </c>
      <c r="G79" s="55">
        <v>1.2223900000000001E-3</v>
      </c>
      <c r="H79" s="54">
        <v>0</v>
      </c>
      <c r="I79" s="41">
        <f t="shared" si="50"/>
        <v>207.34272044482177</v>
      </c>
      <c r="J79" s="56">
        <v>94.6</v>
      </c>
      <c r="K79" s="57">
        <v>70.400000000000006</v>
      </c>
      <c r="L79" s="56">
        <f t="shared" si="53"/>
        <v>84.916083678189878</v>
      </c>
      <c r="M79" s="57">
        <v>100</v>
      </c>
      <c r="N79" s="57">
        <v>0.76</v>
      </c>
      <c r="O79" s="56">
        <v>3.08</v>
      </c>
      <c r="P79" s="57">
        <v>2.5099999999999998</v>
      </c>
      <c r="Q79" s="42">
        <f t="shared" si="51"/>
        <v>90.879601915410078</v>
      </c>
      <c r="R79" s="57">
        <v>69.849999999999994</v>
      </c>
      <c r="S79" s="56">
        <v>-11.75</v>
      </c>
      <c r="T79" s="57">
        <v>7.75</v>
      </c>
      <c r="U79" s="80">
        <f>AVERAGE(U78,U80)</f>
        <v>2.4779999999999998</v>
      </c>
      <c r="V79" s="48">
        <v>-10</v>
      </c>
      <c r="W79" s="47">
        <v>-10</v>
      </c>
      <c r="X79" s="48">
        <f>AVERAGE(X78,X80)</f>
        <v>1.7605</v>
      </c>
      <c r="Y79" s="47">
        <f t="shared" si="47"/>
        <v>-19.671000000000003</v>
      </c>
      <c r="Z79" s="48">
        <f t="shared" si="37"/>
        <v>-29.934999999999981</v>
      </c>
      <c r="AA79" s="47">
        <f>AVERAGE(AA78,AA80)</f>
        <v>-4.5</v>
      </c>
      <c r="AB79" s="48">
        <v>-10</v>
      </c>
      <c r="AC79" s="47">
        <v>-10</v>
      </c>
      <c r="AD79" s="48">
        <f>AVERAGE(AD78,AD80)</f>
        <v>2.4779999999999998</v>
      </c>
      <c r="AE79" s="47">
        <f t="shared" si="49"/>
        <v>-11.529999999999996</v>
      </c>
      <c r="AF79" s="48">
        <f t="shared" si="40"/>
        <v>-43.248000000000033</v>
      </c>
      <c r="AG79" s="47">
        <f>AVERAGE(AG78,AG80)</f>
        <v>0.5</v>
      </c>
      <c r="AH79" s="48">
        <v>-10</v>
      </c>
      <c r="AI79" s="58">
        <v>-10</v>
      </c>
      <c r="AJ79" s="47"/>
      <c r="AK79" s="50">
        <f t="shared" si="52"/>
        <v>0.300607630262823</v>
      </c>
      <c r="AL79" s="42">
        <f t="shared" si="14"/>
        <v>1E-13</v>
      </c>
      <c r="AM79" s="41">
        <f t="shared" si="15"/>
        <v>1E-13</v>
      </c>
      <c r="AN79" s="42">
        <f t="shared" si="16"/>
        <v>5.7610281855985629E-2</v>
      </c>
      <c r="AO79" s="41">
        <f t="shared" si="17"/>
        <v>2.133044913146559E-23</v>
      </c>
      <c r="AP79" s="42">
        <f t="shared" si="18"/>
        <v>1.1614486138403944E-33</v>
      </c>
      <c r="AQ79" s="41">
        <f t="shared" si="19"/>
        <v>3.1622776601683746E-8</v>
      </c>
      <c r="AR79" s="42">
        <f t="shared" si="20"/>
        <v>1E-13</v>
      </c>
      <c r="AS79" s="41">
        <f t="shared" si="21"/>
        <v>1E-13</v>
      </c>
      <c r="AT79" s="42">
        <f t="shared" si="22"/>
        <v>0.300607630262823</v>
      </c>
      <c r="AU79" s="41">
        <f t="shared" si="23"/>
        <v>2.951209226666407E-15</v>
      </c>
      <c r="AV79" s="42">
        <f t="shared" si="24"/>
        <v>5.6493697481225177E-47</v>
      </c>
      <c r="AW79" s="41">
        <f t="shared" si="25"/>
        <v>3.1622776601683794E-3</v>
      </c>
      <c r="AX79" s="42">
        <f t="shared" si="26"/>
        <v>1E-13</v>
      </c>
      <c r="AY79" s="52">
        <f t="shared" si="27"/>
        <v>1E-13</v>
      </c>
      <c r="AZ79" s="41"/>
      <c r="BA79" s="59">
        <f t="shared" si="54"/>
        <v>84.916083678189878</v>
      </c>
      <c r="BB79" s="60">
        <f t="shared" si="55"/>
        <v>67.997056687295355</v>
      </c>
    </row>
    <row r="80" spans="2:54">
      <c r="B80" s="53">
        <v>720</v>
      </c>
      <c r="C80" s="54">
        <v>2.8993270000000002E-3</v>
      </c>
      <c r="D80" s="54">
        <v>1.047E-3</v>
      </c>
      <c r="E80" s="55">
        <v>0</v>
      </c>
      <c r="F80" s="54">
        <v>2.1749600000000001E-3</v>
      </c>
      <c r="G80" s="55">
        <v>8.4619000000000003E-4</v>
      </c>
      <c r="H80" s="54">
        <v>0</v>
      </c>
      <c r="I80" s="41">
        <f t="shared" si="50"/>
        <v>210.29321154546363</v>
      </c>
      <c r="J80" s="56">
        <v>92.9</v>
      </c>
      <c r="K80" s="57">
        <v>68.3</v>
      </c>
      <c r="L80" s="56">
        <f t="shared" si="53"/>
        <v>76.894652077541025</v>
      </c>
      <c r="M80" s="57">
        <v>100</v>
      </c>
      <c r="N80" s="57">
        <v>0.68</v>
      </c>
      <c r="O80" s="56">
        <v>2.73</v>
      </c>
      <c r="P80" s="57">
        <v>0.56999999999999995</v>
      </c>
      <c r="Q80" s="42">
        <f t="shared" si="51"/>
        <v>90.301722483294412</v>
      </c>
      <c r="R80" s="57">
        <v>63.3</v>
      </c>
      <c r="S80" s="56">
        <v>-10.6</v>
      </c>
      <c r="T80" s="57">
        <v>7</v>
      </c>
      <c r="U80" s="80">
        <v>2.3340000000000001</v>
      </c>
      <c r="V80" s="48">
        <v>-10</v>
      </c>
      <c r="W80" s="47">
        <v>-10</v>
      </c>
      <c r="X80" s="48">
        <v>1.5509999999999999</v>
      </c>
      <c r="Y80" s="47">
        <f t="shared" si="47"/>
        <v>-20.521000000000004</v>
      </c>
      <c r="Z80" s="48">
        <f t="shared" si="37"/>
        <v>-30.63499999999998</v>
      </c>
      <c r="AA80" s="47">
        <v>-10</v>
      </c>
      <c r="AB80" s="48">
        <v>-10</v>
      </c>
      <c r="AC80" s="47">
        <v>-10</v>
      </c>
      <c r="AD80" s="48">
        <v>2.2690000000000001</v>
      </c>
      <c r="AE80" s="47">
        <f t="shared" si="49"/>
        <v>-12.129999999999995</v>
      </c>
      <c r="AF80" s="48">
        <f t="shared" si="40"/>
        <v>-44.348000000000035</v>
      </c>
      <c r="AG80" s="47">
        <v>0</v>
      </c>
      <c r="AH80" s="48">
        <v>-10</v>
      </c>
      <c r="AI80" s="58">
        <v>-10</v>
      </c>
      <c r="AJ80" s="47"/>
      <c r="AK80" s="50">
        <f t="shared" si="52"/>
        <v>0.21577444091526687</v>
      </c>
      <c r="AL80" s="42">
        <f t="shared" si="14"/>
        <v>1E-13</v>
      </c>
      <c r="AM80" s="41">
        <f t="shared" si="15"/>
        <v>1E-13</v>
      </c>
      <c r="AN80" s="42">
        <f t="shared" si="16"/>
        <v>3.5563131856898536E-2</v>
      </c>
      <c r="AO80" s="41">
        <f t="shared" si="17"/>
        <v>3.013006024186078E-24</v>
      </c>
      <c r="AP80" s="42">
        <f t="shared" si="18"/>
        <v>2.3173946499685642E-34</v>
      </c>
      <c r="AQ80" s="41">
        <f t="shared" si="19"/>
        <v>1E-13</v>
      </c>
      <c r="AR80" s="42">
        <f t="shared" si="20"/>
        <v>1E-13</v>
      </c>
      <c r="AS80" s="41">
        <f t="shared" si="21"/>
        <v>1E-13</v>
      </c>
      <c r="AT80" s="42">
        <f t="shared" si="22"/>
        <v>0.18578044550916997</v>
      </c>
      <c r="AU80" s="41">
        <f t="shared" si="23"/>
        <v>7.4131024130092429E-16</v>
      </c>
      <c r="AV80" s="42">
        <f t="shared" si="24"/>
        <v>4.4874538993309015E-48</v>
      </c>
      <c r="AW80" s="41">
        <f t="shared" si="25"/>
        <v>1E-3</v>
      </c>
      <c r="AX80" s="42">
        <f t="shared" si="26"/>
        <v>1E-13</v>
      </c>
      <c r="AY80" s="52">
        <f t="shared" si="27"/>
        <v>1E-13</v>
      </c>
      <c r="AZ80" s="41"/>
      <c r="BA80" s="59">
        <f t="shared" si="54"/>
        <v>76.894652077541025</v>
      </c>
      <c r="BB80" s="60">
        <f t="shared" si="55"/>
        <v>61.622549128934018</v>
      </c>
    </row>
    <row r="81" spans="2:54">
      <c r="B81" s="53">
        <v>725</v>
      </c>
      <c r="C81" s="54">
        <v>2.0491900000000002E-3</v>
      </c>
      <c r="D81" s="54">
        <v>7.3999999999999999E-4</v>
      </c>
      <c r="E81" s="55">
        <v>0</v>
      </c>
      <c r="F81" s="54">
        <v>1.5057E-3</v>
      </c>
      <c r="G81" s="55">
        <v>5.8644000000000003E-4</v>
      </c>
      <c r="H81" s="54">
        <v>0</v>
      </c>
      <c r="I81" s="41">
        <f t="shared" si="50"/>
        <v>213.19352399171282</v>
      </c>
      <c r="J81" s="56">
        <v>91.1</v>
      </c>
      <c r="K81" s="57">
        <v>66.3</v>
      </c>
      <c r="L81" s="56">
        <f t="shared" si="53"/>
        <v>81.724837576355029</v>
      </c>
      <c r="M81" s="57">
        <v>100</v>
      </c>
      <c r="N81" s="57">
        <v>0.61</v>
      </c>
      <c r="O81" s="56">
        <v>2.4700000000000002</v>
      </c>
      <c r="P81" s="57">
        <v>0.27</v>
      </c>
      <c r="Q81" s="42">
        <f t="shared" si="51"/>
        <v>89.715235764526966</v>
      </c>
      <c r="R81" s="57">
        <v>67.5</v>
      </c>
      <c r="S81" s="56">
        <v>-11.1</v>
      </c>
      <c r="T81" s="57">
        <v>7.3</v>
      </c>
      <c r="U81" s="80">
        <f>AVERAGE(U80,U82)</f>
        <v>2.1875</v>
      </c>
      <c r="V81" s="48">
        <v>-10</v>
      </c>
      <c r="W81" s="47">
        <v>-10</v>
      </c>
      <c r="X81" s="48">
        <f>AVERAGE(X80,X82)</f>
        <v>1.3460000000000001</v>
      </c>
      <c r="Y81" s="47">
        <f t="shared" si="47"/>
        <v>-21.371000000000006</v>
      </c>
      <c r="Z81" s="48">
        <f t="shared" si="37"/>
        <v>-31.33499999999998</v>
      </c>
      <c r="AA81" s="47">
        <v>-10</v>
      </c>
      <c r="AB81" s="48">
        <v>-10</v>
      </c>
      <c r="AC81" s="47">
        <v>-10</v>
      </c>
      <c r="AD81" s="48">
        <f>AVERAGE(AD80,AD82)</f>
        <v>2.0640000000000001</v>
      </c>
      <c r="AE81" s="47">
        <f t="shared" si="49"/>
        <v>-12.729999999999995</v>
      </c>
      <c r="AF81" s="48">
        <f t="shared" si="40"/>
        <v>-45.448000000000036</v>
      </c>
      <c r="AG81" s="47">
        <v>-10</v>
      </c>
      <c r="AH81" s="48">
        <v>-10</v>
      </c>
      <c r="AI81" s="58">
        <v>-10</v>
      </c>
      <c r="AJ81" s="47"/>
      <c r="AK81" s="50">
        <f t="shared" si="52"/>
        <v>0.15399265260594927</v>
      </c>
      <c r="AL81" s="42">
        <f t="shared" si="14"/>
        <v>1E-13</v>
      </c>
      <c r="AM81" s="41">
        <f t="shared" si="15"/>
        <v>1E-13</v>
      </c>
      <c r="AN81" s="42">
        <f t="shared" si="16"/>
        <v>2.2181964198002196E-2</v>
      </c>
      <c r="AO81" s="41">
        <f t="shared" si="17"/>
        <v>4.2559841313373439E-25</v>
      </c>
      <c r="AP81" s="42">
        <f t="shared" si="18"/>
        <v>4.6238102139928037E-35</v>
      </c>
      <c r="AQ81" s="41">
        <f t="shared" si="19"/>
        <v>1E-13</v>
      </c>
      <c r="AR81" s="42">
        <f t="shared" si="20"/>
        <v>1E-13</v>
      </c>
      <c r="AS81" s="41">
        <f t="shared" si="21"/>
        <v>1E-13</v>
      </c>
      <c r="AT81" s="42">
        <f t="shared" si="22"/>
        <v>0.11587773561551271</v>
      </c>
      <c r="AU81" s="41">
        <f t="shared" si="23"/>
        <v>1.8620871366628823E-16</v>
      </c>
      <c r="AV81" s="42">
        <f t="shared" si="24"/>
        <v>3.5645113342620949E-49</v>
      </c>
      <c r="AW81" s="41">
        <f t="shared" si="25"/>
        <v>1E-13</v>
      </c>
      <c r="AX81" s="42">
        <f t="shared" si="26"/>
        <v>1E-13</v>
      </c>
      <c r="AY81" s="52">
        <f t="shared" si="27"/>
        <v>1E-13</v>
      </c>
      <c r="AZ81" s="41"/>
      <c r="BA81" s="59">
        <f t="shared" si="54"/>
        <v>81.724837576355029</v>
      </c>
      <c r="BB81" s="60">
        <f t="shared" si="55"/>
        <v>65.764208577010109</v>
      </c>
    </row>
    <row r="82" spans="2:54">
      <c r="B82" s="53">
        <v>730</v>
      </c>
      <c r="C82" s="54">
        <v>1.439971E-3</v>
      </c>
      <c r="D82" s="54">
        <v>5.1999999999999995E-4</v>
      </c>
      <c r="E82" s="55">
        <v>0</v>
      </c>
      <c r="F82" s="54">
        <v>1.04476E-3</v>
      </c>
      <c r="G82" s="55">
        <v>4.0740999999999998E-4</v>
      </c>
      <c r="H82" s="54">
        <v>0</v>
      </c>
      <c r="I82" s="41">
        <f t="shared" si="50"/>
        <v>216.04272781712766</v>
      </c>
      <c r="J82" s="56">
        <v>89.4</v>
      </c>
      <c r="K82" s="57">
        <v>64.400000000000006</v>
      </c>
      <c r="L82" s="56">
        <f t="shared" si="53"/>
        <v>86.555023075169018</v>
      </c>
      <c r="M82" s="57">
        <v>100</v>
      </c>
      <c r="N82" s="57">
        <v>0.56000000000000005</v>
      </c>
      <c r="O82" s="56">
        <v>2.25</v>
      </c>
      <c r="P82" s="57">
        <v>0.23</v>
      </c>
      <c r="Q82" s="42">
        <f t="shared" si="51"/>
        <v>89.120764723848666</v>
      </c>
      <c r="R82" s="57">
        <v>71.7</v>
      </c>
      <c r="S82" s="56">
        <v>-11.6</v>
      </c>
      <c r="T82" s="57">
        <v>7.6</v>
      </c>
      <c r="U82" s="80">
        <v>2.0409999999999999</v>
      </c>
      <c r="V82" s="48">
        <v>-10</v>
      </c>
      <c r="W82" s="47">
        <v>-10</v>
      </c>
      <c r="X82" s="48">
        <v>1.141</v>
      </c>
      <c r="Y82" s="47">
        <f t="shared" si="47"/>
        <v>-22.221000000000007</v>
      </c>
      <c r="Z82" s="48">
        <f t="shared" si="37"/>
        <v>-32.034999999999982</v>
      </c>
      <c r="AA82" s="47">
        <v>-10</v>
      </c>
      <c r="AB82" s="48">
        <v>-10</v>
      </c>
      <c r="AC82" s="47">
        <v>-10</v>
      </c>
      <c r="AD82" s="48">
        <v>1.859</v>
      </c>
      <c r="AE82" s="47">
        <f t="shared" si="49"/>
        <v>-13.329999999999995</v>
      </c>
      <c r="AF82" s="48">
        <f t="shared" si="40"/>
        <v>-46.548000000000037</v>
      </c>
      <c r="AG82" s="47">
        <v>-10</v>
      </c>
      <c r="AH82" s="48">
        <v>-10</v>
      </c>
      <c r="AI82" s="58">
        <v>-10</v>
      </c>
      <c r="AJ82" s="47"/>
      <c r="AK82" s="50">
        <f t="shared" si="52"/>
        <v>0.10990058394325208</v>
      </c>
      <c r="AL82" s="42">
        <f t="shared" si="14"/>
        <v>1E-13</v>
      </c>
      <c r="AM82" s="41">
        <f t="shared" si="15"/>
        <v>1E-13</v>
      </c>
      <c r="AN82" s="42">
        <f t="shared" si="16"/>
        <v>1.3835663789717817E-2</v>
      </c>
      <c r="AO82" s="41">
        <f t="shared" si="17"/>
        <v>6.0117373748326645E-26</v>
      </c>
      <c r="AP82" s="42">
        <f t="shared" si="18"/>
        <v>9.225714271547964E-36</v>
      </c>
      <c r="AQ82" s="41">
        <f t="shared" si="19"/>
        <v>1E-13</v>
      </c>
      <c r="AR82" s="42">
        <f t="shared" si="20"/>
        <v>1E-13</v>
      </c>
      <c r="AS82" s="41">
        <f t="shared" si="21"/>
        <v>1E-13</v>
      </c>
      <c r="AT82" s="42">
        <f t="shared" si="22"/>
        <v>7.2276980360217041E-2</v>
      </c>
      <c r="AU82" s="41">
        <f t="shared" si="23"/>
        <v>4.6773514128720296E-17</v>
      </c>
      <c r="AV82" s="42">
        <f t="shared" si="24"/>
        <v>2.8313919957990932E-50</v>
      </c>
      <c r="AW82" s="41">
        <f t="shared" si="25"/>
        <v>1E-13</v>
      </c>
      <c r="AX82" s="42">
        <f t="shared" si="26"/>
        <v>1E-13</v>
      </c>
      <c r="AY82" s="52">
        <f t="shared" si="27"/>
        <v>1E-13</v>
      </c>
      <c r="AZ82" s="41"/>
      <c r="BA82" s="59">
        <f t="shared" si="54"/>
        <v>86.555023075169018</v>
      </c>
      <c r="BB82" s="60">
        <f t="shared" si="55"/>
        <v>69.905868025086193</v>
      </c>
    </row>
    <row r="83" spans="2:54">
      <c r="B83" s="53">
        <v>735</v>
      </c>
      <c r="C83" s="54">
        <v>9.9994930000000008E-4</v>
      </c>
      <c r="D83" s="54">
        <v>3.611E-4</v>
      </c>
      <c r="E83" s="55">
        <v>0</v>
      </c>
      <c r="F83" s="54">
        <v>7.2745000000000004E-4</v>
      </c>
      <c r="G83" s="55">
        <v>2.8404100000000001E-4</v>
      </c>
      <c r="H83" s="54">
        <v>0</v>
      </c>
      <c r="I83" s="41">
        <f t="shared" si="50"/>
        <v>218.83996955969954</v>
      </c>
      <c r="J83" s="56">
        <v>88</v>
      </c>
      <c r="K83" s="57">
        <v>62.8</v>
      </c>
      <c r="L83" s="56">
        <f t="shared" si="53"/>
        <v>89.590469358916295</v>
      </c>
      <c r="M83" s="57">
        <v>100</v>
      </c>
      <c r="N83" s="57">
        <v>0.54</v>
      </c>
      <c r="O83" s="56">
        <v>2.06</v>
      </c>
      <c r="P83" s="57">
        <v>0.21</v>
      </c>
      <c r="Q83" s="42">
        <f t="shared" si="51"/>
        <v>88.518910155681439</v>
      </c>
      <c r="R83" s="57">
        <v>74.349999999999994</v>
      </c>
      <c r="S83" s="56">
        <v>-11.9</v>
      </c>
      <c r="T83" s="57">
        <v>7.8</v>
      </c>
      <c r="U83" s="80">
        <f>AVERAGE(U82,U84)</f>
        <v>1.8864999999999998</v>
      </c>
      <c r="V83" s="48">
        <v>-10</v>
      </c>
      <c r="W83" s="47">
        <v>-10</v>
      </c>
      <c r="X83" s="48">
        <f>AVERAGE(X82,X84)</f>
        <v>0.94100000000000006</v>
      </c>
      <c r="Y83" s="47">
        <f t="shared" si="47"/>
        <v>-23.071000000000009</v>
      </c>
      <c r="Z83" s="48">
        <f t="shared" si="37"/>
        <v>-32.734999999999985</v>
      </c>
      <c r="AA83" s="47">
        <v>-10</v>
      </c>
      <c r="AB83" s="48">
        <v>-10</v>
      </c>
      <c r="AC83" s="47">
        <v>-10</v>
      </c>
      <c r="AD83" s="48">
        <f>AVERAGE(AD82,AD84)</f>
        <v>1.6539999999999999</v>
      </c>
      <c r="AE83" s="47">
        <f t="shared" si="49"/>
        <v>-13.929999999999994</v>
      </c>
      <c r="AF83" s="48">
        <f t="shared" si="40"/>
        <v>-47.648000000000039</v>
      </c>
      <c r="AG83" s="47">
        <v>-10</v>
      </c>
      <c r="AH83" s="48">
        <v>-10</v>
      </c>
      <c r="AI83" s="58">
        <v>-10</v>
      </c>
      <c r="AJ83" s="47"/>
      <c r="AK83" s="50">
        <f t="shared" si="52"/>
        <v>7.7001644435687203E-2</v>
      </c>
      <c r="AL83" s="42">
        <f t="shared" si="14"/>
        <v>1E-13</v>
      </c>
      <c r="AM83" s="41">
        <f t="shared" si="15"/>
        <v>1E-13</v>
      </c>
      <c r="AN83" s="42">
        <f t="shared" si="16"/>
        <v>8.7297136838811167E-3</v>
      </c>
      <c r="AO83" s="41">
        <f t="shared" si="17"/>
        <v>8.4918047503629214E-27</v>
      </c>
      <c r="AP83" s="42">
        <f t="shared" si="18"/>
        <v>1.840772001469008E-36</v>
      </c>
      <c r="AQ83" s="41">
        <f t="shared" si="19"/>
        <v>1E-13</v>
      </c>
      <c r="AR83" s="42">
        <f t="shared" si="20"/>
        <v>1E-13</v>
      </c>
      <c r="AS83" s="41">
        <f t="shared" si="21"/>
        <v>1E-13</v>
      </c>
      <c r="AT83" s="42">
        <f t="shared" si="22"/>
        <v>4.5081670454146031E-2</v>
      </c>
      <c r="AU83" s="41">
        <f t="shared" si="23"/>
        <v>1.1748975549395439E-17</v>
      </c>
      <c r="AV83" s="42">
        <f t="shared" si="24"/>
        <v>2.2490546058355457E-51</v>
      </c>
      <c r="AW83" s="41">
        <f t="shared" si="25"/>
        <v>1E-13</v>
      </c>
      <c r="AX83" s="42">
        <f t="shared" si="26"/>
        <v>1E-13</v>
      </c>
      <c r="AY83" s="52">
        <f t="shared" si="27"/>
        <v>1E-13</v>
      </c>
      <c r="AZ83" s="41"/>
      <c r="BA83" s="59">
        <f t="shared" si="54"/>
        <v>89.590469358916295</v>
      </c>
      <c r="BB83" s="60">
        <f t="shared" si="55"/>
        <v>72.507093969860605</v>
      </c>
    </row>
    <row r="84" spans="2:54">
      <c r="B84" s="53">
        <v>740</v>
      </c>
      <c r="C84" s="54">
        <v>6.9007859999999999E-4</v>
      </c>
      <c r="D84" s="54">
        <v>2.4919999999999999E-4</v>
      </c>
      <c r="E84" s="55">
        <v>0</v>
      </c>
      <c r="F84" s="54">
        <v>5.0825800000000004E-4</v>
      </c>
      <c r="G84" s="55">
        <v>1.9872999999999999E-4</v>
      </c>
      <c r="H84" s="54">
        <v>0</v>
      </c>
      <c r="I84" s="41">
        <f t="shared" si="50"/>
        <v>221.58447038274113</v>
      </c>
      <c r="J84" s="56">
        <v>86.9</v>
      </c>
      <c r="K84" s="57">
        <v>61.5</v>
      </c>
      <c r="L84" s="56">
        <f t="shared" si="53"/>
        <v>92.625915642663585</v>
      </c>
      <c r="M84" s="57">
        <v>100</v>
      </c>
      <c r="N84" s="57">
        <v>0.51</v>
      </c>
      <c r="O84" s="56">
        <v>1.9</v>
      </c>
      <c r="P84" s="57">
        <v>0.24</v>
      </c>
      <c r="Q84" s="42">
        <f t="shared" si="51"/>
        <v>87.910251152360729</v>
      </c>
      <c r="R84" s="57">
        <v>77</v>
      </c>
      <c r="S84" s="56">
        <v>-12.2</v>
      </c>
      <c r="T84" s="57">
        <v>8</v>
      </c>
      <c r="U84" s="80">
        <v>1.732</v>
      </c>
      <c r="V84" s="48">
        <v>-10</v>
      </c>
      <c r="W84" s="47">
        <v>-10</v>
      </c>
      <c r="X84" s="48">
        <v>0.74099999999999999</v>
      </c>
      <c r="Y84" s="47">
        <f t="shared" si="47"/>
        <v>-23.92100000000001</v>
      </c>
      <c r="Z84" s="48">
        <f t="shared" si="37"/>
        <v>-33.434999999999988</v>
      </c>
      <c r="AA84" s="47">
        <v>-10</v>
      </c>
      <c r="AB84" s="48">
        <v>-10</v>
      </c>
      <c r="AC84" s="47">
        <v>-10</v>
      </c>
      <c r="AD84" s="48">
        <v>1.4490000000000001</v>
      </c>
      <c r="AE84" s="47">
        <f t="shared" si="49"/>
        <v>-14.529999999999994</v>
      </c>
      <c r="AF84" s="48">
        <f t="shared" si="40"/>
        <v>-48.74800000000004</v>
      </c>
      <c r="AG84" s="47">
        <v>-10</v>
      </c>
      <c r="AH84" s="48">
        <v>-10</v>
      </c>
      <c r="AI84" s="58">
        <v>-10</v>
      </c>
      <c r="AJ84" s="47"/>
      <c r="AK84" s="50">
        <f t="shared" si="52"/>
        <v>5.3951062251512791E-2</v>
      </c>
      <c r="AL84" s="42">
        <f t="shared" ref="AL84:AL102" si="56">POWER(10,V84)/1000</f>
        <v>1E-13</v>
      </c>
      <c r="AM84" s="41">
        <f t="shared" ref="AM84:AM102" si="57">POWER(10,W84)/1000</f>
        <v>1E-13</v>
      </c>
      <c r="AN84" s="42">
        <f t="shared" ref="AN84:AN102" si="58">POWER(10,X84)/1000</f>
        <v>5.5080769640540352E-3</v>
      </c>
      <c r="AO84" s="41">
        <f t="shared" ref="AO84:AO102" si="59">POWER(10,Y84)/1000</f>
        <v>1.1994993031493411E-27</v>
      </c>
      <c r="AP84" s="42">
        <f t="shared" ref="AP84:AP102" si="60">POWER(10,Z84)/1000</f>
        <v>3.6728230049809232E-37</v>
      </c>
      <c r="AQ84" s="41">
        <f t="shared" ref="AQ84:AQ102" si="61">POWER(10,AA84)/1000</f>
        <v>1E-13</v>
      </c>
      <c r="AR84" s="42">
        <f t="shared" ref="AR84:AR102" si="62">POWER(10,AB84)/1000</f>
        <v>1E-13</v>
      </c>
      <c r="AS84" s="41">
        <f t="shared" ref="AS84:AS102" si="63">POWER(10,AC84)/1000</f>
        <v>1E-13</v>
      </c>
      <c r="AT84" s="42">
        <f t="shared" ref="AT84:AT102" si="64">POWER(10,AD84)/1000</f>
        <v>2.8119008303989421E-2</v>
      </c>
      <c r="AU84" s="41">
        <f t="shared" ref="AU84:AU102" si="65">POWER(10,AE84)/1000</f>
        <v>2.9512092266664176E-18</v>
      </c>
      <c r="AV84" s="42">
        <f t="shared" ref="AV84:AV102" si="66">POWER(10,AF84)/1000</f>
        <v>1.786487574851857E-52</v>
      </c>
      <c r="AW84" s="41">
        <f t="shared" ref="AW84:AW102" si="67">POWER(10,AG84)/1000</f>
        <v>1E-13</v>
      </c>
      <c r="AX84" s="42">
        <f t="shared" ref="AX84:AX102" si="68">POWER(10,AH84)/1000</f>
        <v>1E-13</v>
      </c>
      <c r="AY84" s="52">
        <f t="shared" ref="AY84:AY102" si="69">POWER(10,AI84)/1000</f>
        <v>1E-13</v>
      </c>
      <c r="AZ84" s="41"/>
      <c r="BA84" s="59">
        <f t="shared" si="54"/>
        <v>92.625915642663585</v>
      </c>
      <c r="BB84" s="60">
        <f t="shared" si="55"/>
        <v>75.108319914635047</v>
      </c>
    </row>
    <row r="85" spans="2:54">
      <c r="B85" s="53">
        <v>745</v>
      </c>
      <c r="C85" s="54">
        <v>4.7602130000000002E-4</v>
      </c>
      <c r="D85" s="54">
        <v>1.719E-4</v>
      </c>
      <c r="E85" s="55">
        <v>0</v>
      </c>
      <c r="F85" s="54">
        <v>3.5638E-4</v>
      </c>
      <c r="G85" s="55">
        <v>1.3955E-4</v>
      </c>
      <c r="H85" s="54">
        <v>0</v>
      </c>
      <c r="I85" s="41">
        <f t="shared" si="50"/>
        <v>224.27552414309224</v>
      </c>
      <c r="J85" s="56">
        <v>85.9</v>
      </c>
      <c r="K85" s="57">
        <v>60.2</v>
      </c>
      <c r="L85" s="56">
        <f t="shared" si="53"/>
        <v>85.447207183888366</v>
      </c>
      <c r="M85" s="57">
        <v>100</v>
      </c>
      <c r="N85" s="57">
        <v>0.47</v>
      </c>
      <c r="O85" s="56">
        <v>1.75</v>
      </c>
      <c r="P85" s="57">
        <v>0.24</v>
      </c>
      <c r="Q85" s="42">
        <f t="shared" si="51"/>
        <v>87.295345582513633</v>
      </c>
      <c r="R85" s="57">
        <v>71.099999999999994</v>
      </c>
      <c r="S85" s="56">
        <v>-11.2</v>
      </c>
      <c r="T85" s="57">
        <v>7.35</v>
      </c>
      <c r="U85" s="80">
        <f>AVERAGE(U84,U86)</f>
        <v>1.5815000000000001</v>
      </c>
      <c r="V85" s="48">
        <v>-10</v>
      </c>
      <c r="W85" s="47">
        <v>-10</v>
      </c>
      <c r="X85" s="48">
        <f>AVERAGE(X84,X86)</f>
        <v>0.54100000000000004</v>
      </c>
      <c r="Y85" s="47">
        <f t="shared" si="47"/>
        <v>-24.771000000000011</v>
      </c>
      <c r="Z85" s="48">
        <f t="shared" si="37"/>
        <v>-34.134999999999991</v>
      </c>
      <c r="AA85" s="47">
        <v>-10</v>
      </c>
      <c r="AB85" s="48">
        <v>-10</v>
      </c>
      <c r="AC85" s="47">
        <v>-10</v>
      </c>
      <c r="AD85" s="48">
        <f>AVERAGE(AD84,AD86)</f>
        <v>1.2515000000000001</v>
      </c>
      <c r="AE85" s="47">
        <f t="shared" si="49"/>
        <v>-15.129999999999994</v>
      </c>
      <c r="AF85" s="48">
        <f t="shared" si="40"/>
        <v>-49.848000000000042</v>
      </c>
      <c r="AG85" s="47">
        <v>-10</v>
      </c>
      <c r="AH85" s="48">
        <v>-10</v>
      </c>
      <c r="AI85" s="58">
        <v>-10</v>
      </c>
      <c r="AJ85" s="47"/>
      <c r="AK85" s="50">
        <f t="shared" si="52"/>
        <v>3.8150479427943862E-2</v>
      </c>
      <c r="AL85" s="42">
        <f t="shared" si="56"/>
        <v>1E-13</v>
      </c>
      <c r="AM85" s="41">
        <f t="shared" si="57"/>
        <v>1E-13</v>
      </c>
      <c r="AN85" s="42">
        <f t="shared" si="58"/>
        <v>3.4753616144320588E-3</v>
      </c>
      <c r="AO85" s="41">
        <f t="shared" si="59"/>
        <v>1.6943378004472763E-28</v>
      </c>
      <c r="AP85" s="42">
        <f t="shared" si="60"/>
        <v>7.3282453313891388E-38</v>
      </c>
      <c r="AQ85" s="41">
        <f t="shared" si="61"/>
        <v>1E-13</v>
      </c>
      <c r="AR85" s="42">
        <f t="shared" si="62"/>
        <v>1E-13</v>
      </c>
      <c r="AS85" s="41">
        <f t="shared" si="63"/>
        <v>1E-13</v>
      </c>
      <c r="AT85" s="42">
        <f t="shared" si="64"/>
        <v>1.7844319885403664E-2</v>
      </c>
      <c r="AU85" s="41">
        <f t="shared" si="65"/>
        <v>7.4131024130092463E-19</v>
      </c>
      <c r="AV85" s="42">
        <f t="shared" si="66"/>
        <v>1.4190575216889329E-53</v>
      </c>
      <c r="AW85" s="41">
        <f t="shared" si="67"/>
        <v>1E-13</v>
      </c>
      <c r="AX85" s="42">
        <f t="shared" si="68"/>
        <v>1E-13</v>
      </c>
      <c r="AY85" s="52">
        <f t="shared" si="69"/>
        <v>1E-13</v>
      </c>
      <c r="AZ85" s="41"/>
      <c r="BA85" s="59">
        <f t="shared" si="54"/>
        <v>85.447207183888366</v>
      </c>
      <c r="BB85" s="60">
        <f t="shared" si="55"/>
        <v>69.359425328660919</v>
      </c>
    </row>
    <row r="86" spans="2:54">
      <c r="B86" s="53">
        <v>750</v>
      </c>
      <c r="C86" s="54">
        <v>3.323011E-4</v>
      </c>
      <c r="D86" s="54">
        <v>1.2E-4</v>
      </c>
      <c r="E86" s="55">
        <v>0</v>
      </c>
      <c r="F86" s="54">
        <v>2.5096899999999998E-4</v>
      </c>
      <c r="G86" s="55">
        <v>9.8428E-5</v>
      </c>
      <c r="H86" s="54">
        <v>0</v>
      </c>
      <c r="I86" s="41">
        <f t="shared" si="50"/>
        <v>226.91249541541796</v>
      </c>
      <c r="J86" s="56">
        <v>85.2</v>
      </c>
      <c r="K86" s="57">
        <v>59.2</v>
      </c>
      <c r="L86" s="56">
        <f t="shared" si="53"/>
        <v>78.268498725113176</v>
      </c>
      <c r="M86" s="57">
        <v>100</v>
      </c>
      <c r="N86" s="57">
        <v>0.47</v>
      </c>
      <c r="O86" s="56">
        <v>1.62</v>
      </c>
      <c r="P86" s="57">
        <v>0.2</v>
      </c>
      <c r="Q86" s="42">
        <f t="shared" si="51"/>
        <v>86.674730577402045</v>
      </c>
      <c r="R86" s="57">
        <v>65.2</v>
      </c>
      <c r="S86" s="56">
        <v>-10.199999999999999</v>
      </c>
      <c r="T86" s="57">
        <v>6.7</v>
      </c>
      <c r="U86" s="80">
        <v>1.431</v>
      </c>
      <c r="V86" s="48">
        <v>-10</v>
      </c>
      <c r="W86" s="47">
        <v>-10</v>
      </c>
      <c r="X86" s="48">
        <v>0.34100000000000003</v>
      </c>
      <c r="Y86" s="47">
        <f t="shared" si="47"/>
        <v>-25.621000000000013</v>
      </c>
      <c r="Z86" s="48">
        <f t="shared" si="37"/>
        <v>-34.834999999999994</v>
      </c>
      <c r="AA86" s="47">
        <v>-10</v>
      </c>
      <c r="AB86" s="48">
        <v>-10</v>
      </c>
      <c r="AC86" s="47">
        <v>-10</v>
      </c>
      <c r="AD86" s="48">
        <v>1.054</v>
      </c>
      <c r="AE86" s="47">
        <f t="shared" si="49"/>
        <v>-15.729999999999993</v>
      </c>
      <c r="AF86" s="48">
        <f t="shared" si="40"/>
        <v>-50.948000000000043</v>
      </c>
      <c r="AG86" s="47">
        <v>-10</v>
      </c>
      <c r="AH86" s="48">
        <v>-10</v>
      </c>
      <c r="AI86" s="58">
        <v>-10</v>
      </c>
      <c r="AJ86" s="47"/>
      <c r="AK86" s="50">
        <f t="shared" si="52"/>
        <v>2.6977394324449212E-2</v>
      </c>
      <c r="AL86" s="42">
        <f t="shared" si="56"/>
        <v>1E-13</v>
      </c>
      <c r="AM86" s="41">
        <f t="shared" si="57"/>
        <v>1E-13</v>
      </c>
      <c r="AN86" s="42">
        <f t="shared" si="58"/>
        <v>2.192804935350449E-3</v>
      </c>
      <c r="AO86" s="41">
        <f t="shared" si="59"/>
        <v>2.3933157564052998E-29</v>
      </c>
      <c r="AP86" s="42">
        <f t="shared" si="60"/>
        <v>1.4621771744567269E-38</v>
      </c>
      <c r="AQ86" s="41">
        <f t="shared" si="61"/>
        <v>1E-13</v>
      </c>
      <c r="AR86" s="42">
        <f t="shared" si="62"/>
        <v>1E-13</v>
      </c>
      <c r="AS86" s="41">
        <f t="shared" si="63"/>
        <v>1E-13</v>
      </c>
      <c r="AT86" s="42">
        <f t="shared" si="64"/>
        <v>1.1324003632355573E-2</v>
      </c>
      <c r="AU86" s="41">
        <f t="shared" si="65"/>
        <v>1.8620871366628958E-19</v>
      </c>
      <c r="AV86" s="42">
        <f t="shared" si="66"/>
        <v>1.1271974561753799E-54</v>
      </c>
      <c r="AW86" s="41">
        <f t="shared" si="67"/>
        <v>1E-13</v>
      </c>
      <c r="AX86" s="42">
        <f t="shared" si="68"/>
        <v>1E-13</v>
      </c>
      <c r="AY86" s="52">
        <f t="shared" si="69"/>
        <v>1E-13</v>
      </c>
      <c r="AZ86" s="41"/>
      <c r="BA86" s="59">
        <f t="shared" si="54"/>
        <v>78.268498725113176</v>
      </c>
      <c r="BB86" s="60">
        <f t="shared" si="55"/>
        <v>63.610530742686798</v>
      </c>
    </row>
    <row r="87" spans="2:54">
      <c r="B87" s="53">
        <v>755</v>
      </c>
      <c r="C87" s="54">
        <v>2.348261E-4</v>
      </c>
      <c r="D87" s="54">
        <v>8.4800000000000001E-5</v>
      </c>
      <c r="E87" s="55">
        <v>0</v>
      </c>
      <c r="F87" s="54">
        <v>1.7772999999999999E-4</v>
      </c>
      <c r="G87" s="55">
        <v>6.9819000000000004E-5</v>
      </c>
      <c r="H87" s="54">
        <v>0</v>
      </c>
      <c r="I87" s="41">
        <f t="shared" si="50"/>
        <v>229.49481748082508</v>
      </c>
      <c r="J87" s="56">
        <v>84.8</v>
      </c>
      <c r="K87" s="57">
        <v>58.5</v>
      </c>
      <c r="L87" s="56">
        <f t="shared" si="53"/>
        <v>67.995051051271261</v>
      </c>
      <c r="M87" s="57">
        <v>100</v>
      </c>
      <c r="N87" s="57">
        <v>0.43</v>
      </c>
      <c r="O87" s="56">
        <v>1.54</v>
      </c>
      <c r="P87" s="57">
        <v>0.24</v>
      </c>
      <c r="Q87" s="42">
        <f t="shared" si="51"/>
        <v>86.048923023240761</v>
      </c>
      <c r="R87" s="57">
        <v>56.45</v>
      </c>
      <c r="S87" s="56">
        <v>-9</v>
      </c>
      <c r="T87" s="57">
        <v>5.95</v>
      </c>
      <c r="U87" s="80">
        <f>AVERAGE(U86,U88)</f>
        <v>1.2885</v>
      </c>
      <c r="V87" s="48">
        <v>-10</v>
      </c>
      <c r="W87" s="47">
        <v>-10</v>
      </c>
      <c r="X87" s="48">
        <f>X86-0.2</f>
        <v>0.14100000000000001</v>
      </c>
      <c r="Y87" s="47">
        <f t="shared" si="47"/>
        <v>-26.471000000000014</v>
      </c>
      <c r="Z87" s="48">
        <f t="shared" si="37"/>
        <v>-35.534999999999997</v>
      </c>
      <c r="AA87" s="47">
        <v>-10</v>
      </c>
      <c r="AB87" s="48">
        <v>-10</v>
      </c>
      <c r="AC87" s="47">
        <v>-10</v>
      </c>
      <c r="AD87" s="48">
        <f>AVERAGE(AD86,AD88)</f>
        <v>0.85400000000000009</v>
      </c>
      <c r="AE87" s="47">
        <f t="shared" si="49"/>
        <v>-16.329999999999995</v>
      </c>
      <c r="AF87" s="48">
        <f t="shared" si="40"/>
        <v>-52.048000000000044</v>
      </c>
      <c r="AG87" s="47">
        <v>-10</v>
      </c>
      <c r="AH87" s="48">
        <v>-10</v>
      </c>
      <c r="AI87" s="58">
        <v>-10</v>
      </c>
      <c r="AJ87" s="47"/>
      <c r="AK87" s="50">
        <f t="shared" si="52"/>
        <v>1.9431216918284255E-2</v>
      </c>
      <c r="AL87" s="42">
        <f t="shared" si="56"/>
        <v>1E-13</v>
      </c>
      <c r="AM87" s="41">
        <f t="shared" si="57"/>
        <v>1E-13</v>
      </c>
      <c r="AN87" s="42">
        <f t="shared" si="58"/>
        <v>1.3835663789717812E-3</v>
      </c>
      <c r="AO87" s="41">
        <f t="shared" si="59"/>
        <v>3.3806483620596956E-30</v>
      </c>
      <c r="AP87" s="42">
        <f t="shared" si="60"/>
        <v>2.9174270140011621E-39</v>
      </c>
      <c r="AQ87" s="41">
        <f t="shared" si="61"/>
        <v>1E-13</v>
      </c>
      <c r="AR87" s="42">
        <f t="shared" si="62"/>
        <v>1E-13</v>
      </c>
      <c r="AS87" s="41">
        <f t="shared" si="63"/>
        <v>1E-13</v>
      </c>
      <c r="AT87" s="42">
        <f t="shared" si="64"/>
        <v>7.1449632607551361E-3</v>
      </c>
      <c r="AU87" s="41">
        <f t="shared" si="65"/>
        <v>4.6773514128720136E-20</v>
      </c>
      <c r="AV87" s="42">
        <f t="shared" si="66"/>
        <v>8.9536476554948678E-56</v>
      </c>
      <c r="AW87" s="41">
        <f t="shared" si="67"/>
        <v>1E-13</v>
      </c>
      <c r="AX87" s="42">
        <f t="shared" si="68"/>
        <v>1E-13</v>
      </c>
      <c r="AY87" s="52">
        <f t="shared" si="69"/>
        <v>1E-13</v>
      </c>
      <c r="AZ87" s="41"/>
      <c r="BA87" s="59">
        <f t="shared" si="54"/>
        <v>67.995051051271261</v>
      </c>
      <c r="BB87" s="60">
        <f t="shared" si="55"/>
        <v>55.021202653411038</v>
      </c>
    </row>
    <row r="88" spans="2:54">
      <c r="B88" s="53">
        <v>760</v>
      </c>
      <c r="C88" s="54">
        <v>1.6615050000000001E-4</v>
      </c>
      <c r="D88" s="54">
        <v>6.0000000000000002E-5</v>
      </c>
      <c r="E88" s="55">
        <v>0</v>
      </c>
      <c r="F88" s="54">
        <v>1.2638999999999999E-4</v>
      </c>
      <c r="G88" s="55">
        <v>4.9737000000000002E-5</v>
      </c>
      <c r="H88" s="54">
        <v>0</v>
      </c>
      <c r="I88" s="41">
        <f t="shared" si="50"/>
        <v>232.0219902875015</v>
      </c>
      <c r="J88" s="56">
        <v>84.7</v>
      </c>
      <c r="K88" s="57">
        <v>58.1</v>
      </c>
      <c r="L88" s="56">
        <f t="shared" si="53"/>
        <v>57.721603377429361</v>
      </c>
      <c r="M88" s="57">
        <v>100</v>
      </c>
      <c r="N88" s="57">
        <v>0.46</v>
      </c>
      <c r="O88" s="56">
        <v>1.45</v>
      </c>
      <c r="P88" s="57">
        <v>0.32</v>
      </c>
      <c r="Q88" s="42">
        <f t="shared" si="51"/>
        <v>85.418420057672876</v>
      </c>
      <c r="R88" s="57">
        <v>47.7</v>
      </c>
      <c r="S88" s="56">
        <v>-7.8</v>
      </c>
      <c r="T88" s="57">
        <v>5.2</v>
      </c>
      <c r="U88" s="80">
        <v>1.1459999999999999</v>
      </c>
      <c r="V88" s="48">
        <v>-10</v>
      </c>
      <c r="W88" s="47">
        <v>-10</v>
      </c>
      <c r="X88" s="48">
        <f>X87-0.2</f>
        <v>-5.8999999999999997E-2</v>
      </c>
      <c r="Y88" s="47">
        <f t="shared" si="47"/>
        <v>-27.321000000000016</v>
      </c>
      <c r="Z88" s="48">
        <f t="shared" si="37"/>
        <v>-36.234999999999999</v>
      </c>
      <c r="AA88" s="47">
        <v>-10</v>
      </c>
      <c r="AB88" s="48">
        <v>-10</v>
      </c>
      <c r="AC88" s="47">
        <v>-10</v>
      </c>
      <c r="AD88" s="48">
        <v>0.65400000000000003</v>
      </c>
      <c r="AE88" s="47">
        <f t="shared" si="49"/>
        <v>-16.929999999999996</v>
      </c>
      <c r="AF88" s="48">
        <f t="shared" si="40"/>
        <v>-53.148000000000046</v>
      </c>
      <c r="AG88" s="47">
        <v>-10</v>
      </c>
      <c r="AH88" s="48">
        <v>-10</v>
      </c>
      <c r="AI88" s="58">
        <v>-10</v>
      </c>
      <c r="AJ88" s="47"/>
      <c r="AK88" s="50">
        <f t="shared" si="52"/>
        <v>1.399587322572618E-2</v>
      </c>
      <c r="AL88" s="42">
        <f t="shared" si="56"/>
        <v>1E-13</v>
      </c>
      <c r="AM88" s="41">
        <f t="shared" si="57"/>
        <v>1E-13</v>
      </c>
      <c r="AN88" s="42">
        <f t="shared" si="58"/>
        <v>8.7297136838811163E-4</v>
      </c>
      <c r="AO88" s="41">
        <f t="shared" si="59"/>
        <v>4.7752927365767085E-31</v>
      </c>
      <c r="AP88" s="42">
        <f t="shared" si="60"/>
        <v>5.8210321777086611E-40</v>
      </c>
      <c r="AQ88" s="41">
        <f t="shared" si="61"/>
        <v>1E-13</v>
      </c>
      <c r="AR88" s="42">
        <f t="shared" si="62"/>
        <v>1E-13</v>
      </c>
      <c r="AS88" s="41">
        <f t="shared" si="63"/>
        <v>1E-13</v>
      </c>
      <c r="AT88" s="42">
        <f t="shared" si="64"/>
        <v>4.5081670454146022E-3</v>
      </c>
      <c r="AU88" s="41">
        <f t="shared" si="65"/>
        <v>1.1748975549395359E-20</v>
      </c>
      <c r="AV88" s="42">
        <f t="shared" si="66"/>
        <v>7.1121351365324132E-57</v>
      </c>
      <c r="AW88" s="41">
        <f t="shared" si="67"/>
        <v>1E-13</v>
      </c>
      <c r="AX88" s="42">
        <f t="shared" si="68"/>
        <v>1E-13</v>
      </c>
      <c r="AY88" s="52">
        <f t="shared" si="69"/>
        <v>1E-13</v>
      </c>
      <c r="AZ88" s="41"/>
      <c r="BA88" s="59">
        <f t="shared" si="54"/>
        <v>57.721603377429361</v>
      </c>
      <c r="BB88" s="60">
        <f t="shared" si="55"/>
        <v>46.431874564135263</v>
      </c>
    </row>
    <row r="89" spans="2:54">
      <c r="B89" s="53">
        <v>765</v>
      </c>
      <c r="C89" s="54">
        <v>1.17413E-4</v>
      </c>
      <c r="D89" s="54">
        <v>4.2400000000000001E-5</v>
      </c>
      <c r="E89" s="55">
        <v>0</v>
      </c>
      <c r="F89" s="54">
        <v>9.0150999999999998E-5</v>
      </c>
      <c r="G89" s="55">
        <v>3.5540500000000003E-5</v>
      </c>
      <c r="H89" s="54">
        <v>0</v>
      </c>
      <c r="I89" s="41">
        <f t="shared" si="50"/>
        <v>234.49357839055631</v>
      </c>
      <c r="J89" s="56">
        <v>84.9</v>
      </c>
      <c r="K89" s="57">
        <v>58</v>
      </c>
      <c r="L89" s="56">
        <f t="shared" si="53"/>
        <v>70.343574011232477</v>
      </c>
      <c r="M89" s="57">
        <v>100</v>
      </c>
      <c r="N89" s="57">
        <v>0.47</v>
      </c>
      <c r="O89" s="56">
        <v>1.32</v>
      </c>
      <c r="P89" s="57">
        <v>0.26</v>
      </c>
      <c r="Q89" s="42">
        <f t="shared" si="51"/>
        <v>84.783699568749469</v>
      </c>
      <c r="R89" s="57">
        <v>58.15</v>
      </c>
      <c r="S89" s="56">
        <v>-9.5</v>
      </c>
      <c r="T89" s="57">
        <v>6.3</v>
      </c>
      <c r="U89" s="80">
        <f>AVERAGE(U88,U90)</f>
        <v>1.073</v>
      </c>
      <c r="V89" s="48">
        <v>-10</v>
      </c>
      <c r="W89" s="47">
        <v>-10</v>
      </c>
      <c r="X89" s="48">
        <f t="shared" ref="X89:X102" si="70">X88-0.2</f>
        <v>-0.25900000000000001</v>
      </c>
      <c r="Y89" s="47">
        <f t="shared" si="47"/>
        <v>-28.171000000000017</v>
      </c>
      <c r="Z89" s="48">
        <f t="shared" si="37"/>
        <v>-36.935000000000002</v>
      </c>
      <c r="AA89" s="47">
        <v>-10</v>
      </c>
      <c r="AB89" s="48">
        <v>-10</v>
      </c>
      <c r="AC89" s="47">
        <v>-10</v>
      </c>
      <c r="AD89" s="48">
        <f>AVERAGE(AD88,AD90)</f>
        <v>0.45400000000000001</v>
      </c>
      <c r="AE89" s="47">
        <f t="shared" si="49"/>
        <v>-17.529999999999998</v>
      </c>
      <c r="AF89" s="48">
        <f t="shared" si="40"/>
        <v>-54.248000000000047</v>
      </c>
      <c r="AG89" s="47">
        <v>-10</v>
      </c>
      <c r="AH89" s="48">
        <v>-10</v>
      </c>
      <c r="AI89" s="58">
        <v>-10</v>
      </c>
      <c r="AJ89" s="47"/>
      <c r="AK89" s="50">
        <f t="shared" si="52"/>
        <v>1.1830415557251651E-2</v>
      </c>
      <c r="AL89" s="42">
        <f t="shared" si="56"/>
        <v>1E-13</v>
      </c>
      <c r="AM89" s="41">
        <f t="shared" si="57"/>
        <v>1E-13</v>
      </c>
      <c r="AN89" s="42">
        <f t="shared" si="58"/>
        <v>5.5080769640540334E-4</v>
      </c>
      <c r="AO89" s="41">
        <f t="shared" si="59"/>
        <v>6.745280276978945E-32</v>
      </c>
      <c r="AP89" s="42">
        <f t="shared" si="60"/>
        <v>1.1614486138403235E-40</v>
      </c>
      <c r="AQ89" s="41">
        <f t="shared" si="61"/>
        <v>1E-13</v>
      </c>
      <c r="AR89" s="42">
        <f t="shared" si="62"/>
        <v>1E-13</v>
      </c>
      <c r="AS89" s="41">
        <f t="shared" si="63"/>
        <v>1E-13</v>
      </c>
      <c r="AT89" s="42">
        <f t="shared" si="64"/>
        <v>2.844461107447916E-3</v>
      </c>
      <c r="AU89" s="41">
        <f t="shared" si="65"/>
        <v>2.9512092266663978E-21</v>
      </c>
      <c r="AV89" s="42">
        <f t="shared" si="66"/>
        <v>5.6493697481223078E-58</v>
      </c>
      <c r="AW89" s="41">
        <f t="shared" si="67"/>
        <v>1E-13</v>
      </c>
      <c r="AX89" s="42">
        <f t="shared" si="68"/>
        <v>1E-13</v>
      </c>
      <c r="AY89" s="52">
        <f t="shared" si="69"/>
        <v>1E-13</v>
      </c>
      <c r="AZ89" s="41"/>
      <c r="BA89" s="59">
        <f t="shared" si="54"/>
        <v>70.343574011232477</v>
      </c>
      <c r="BB89" s="60">
        <f t="shared" si="55"/>
        <v>56.628437791309075</v>
      </c>
    </row>
    <row r="90" spans="2:54">
      <c r="B90" s="53">
        <v>770</v>
      </c>
      <c r="C90" s="54">
        <v>8.3075270000000005E-5</v>
      </c>
      <c r="D90" s="54">
        <v>3.0000000000000001E-5</v>
      </c>
      <c r="E90" s="55">
        <v>0</v>
      </c>
      <c r="F90" s="54">
        <v>6.4525799999999998E-5</v>
      </c>
      <c r="G90" s="55">
        <v>2.5486E-5</v>
      </c>
      <c r="H90" s="54">
        <v>0</v>
      </c>
      <c r="I90" s="41">
        <f t="shared" si="50"/>
        <v>236.90920887776366</v>
      </c>
      <c r="J90" s="56">
        <v>85.4</v>
      </c>
      <c r="K90" s="57">
        <v>58.2</v>
      </c>
      <c r="L90" s="56">
        <f t="shared" si="53"/>
        <v>82.965544645035592</v>
      </c>
      <c r="M90" s="57">
        <v>100</v>
      </c>
      <c r="N90" s="57">
        <v>0.4</v>
      </c>
      <c r="O90" s="56">
        <v>1.17</v>
      </c>
      <c r="P90" s="57">
        <v>0.16</v>
      </c>
      <c r="Q90" s="42">
        <f t="shared" si="51"/>
        <v>84.145220694913036</v>
      </c>
      <c r="R90" s="57">
        <v>68.599999999999994</v>
      </c>
      <c r="S90" s="56">
        <v>-11.2</v>
      </c>
      <c r="T90" s="57">
        <v>7.4</v>
      </c>
      <c r="U90" s="80">
        <v>1</v>
      </c>
      <c r="V90" s="48">
        <v>-10</v>
      </c>
      <c r="W90" s="47">
        <v>-10</v>
      </c>
      <c r="X90" s="48">
        <f t="shared" si="70"/>
        <v>-0.45900000000000002</v>
      </c>
      <c r="Y90" s="47">
        <f t="shared" si="47"/>
        <v>-29.021000000000019</v>
      </c>
      <c r="Z90" s="48">
        <f t="shared" si="37"/>
        <v>-37.635000000000005</v>
      </c>
      <c r="AA90" s="47">
        <v>-10</v>
      </c>
      <c r="AB90" s="48">
        <v>-10</v>
      </c>
      <c r="AC90" s="47">
        <v>-10</v>
      </c>
      <c r="AD90" s="48">
        <v>0.254</v>
      </c>
      <c r="AE90" s="47">
        <f t="shared" si="49"/>
        <v>-18.13</v>
      </c>
      <c r="AF90" s="48">
        <f t="shared" si="40"/>
        <v>-55.348000000000049</v>
      </c>
      <c r="AG90" s="47">
        <v>-10</v>
      </c>
      <c r="AH90" s="48">
        <v>-10</v>
      </c>
      <c r="AI90" s="58">
        <v>-10</v>
      </c>
      <c r="AJ90" s="47"/>
      <c r="AK90" s="50">
        <f t="shared" si="52"/>
        <v>0.01</v>
      </c>
      <c r="AL90" s="42">
        <f t="shared" si="56"/>
        <v>1E-13</v>
      </c>
      <c r="AM90" s="41">
        <f t="shared" si="57"/>
        <v>1E-13</v>
      </c>
      <c r="AN90" s="42">
        <f t="shared" si="58"/>
        <v>3.4753616144320577E-4</v>
      </c>
      <c r="AO90" s="41">
        <f t="shared" si="59"/>
        <v>9.527961640236073E-33</v>
      </c>
      <c r="AP90" s="42">
        <f t="shared" si="60"/>
        <v>2.3173946499684226E-41</v>
      </c>
      <c r="AQ90" s="41">
        <f t="shared" si="61"/>
        <v>1E-13</v>
      </c>
      <c r="AR90" s="42">
        <f t="shared" si="62"/>
        <v>1E-13</v>
      </c>
      <c r="AS90" s="41">
        <f t="shared" si="63"/>
        <v>1E-13</v>
      </c>
      <c r="AT90" s="42">
        <f t="shared" si="64"/>
        <v>1.7947336268325266E-3</v>
      </c>
      <c r="AU90" s="41">
        <f t="shared" si="65"/>
        <v>7.4131024130091426E-22</v>
      </c>
      <c r="AV90" s="42">
        <f t="shared" si="66"/>
        <v>4.4874538993307353E-59</v>
      </c>
      <c r="AW90" s="41">
        <f t="shared" si="67"/>
        <v>1E-13</v>
      </c>
      <c r="AX90" s="42">
        <f t="shared" si="68"/>
        <v>1E-13</v>
      </c>
      <c r="AY90" s="52">
        <f t="shared" si="69"/>
        <v>1E-13</v>
      </c>
      <c r="AZ90" s="41"/>
      <c r="BA90" s="59">
        <f t="shared" si="54"/>
        <v>82.965544645035592</v>
      </c>
      <c r="BB90" s="60">
        <f t="shared" si="55"/>
        <v>66.82500101848288</v>
      </c>
    </row>
    <row r="91" spans="2:54">
      <c r="B91" s="53">
        <v>775</v>
      </c>
      <c r="C91" s="54">
        <v>5.8706519999999999E-5</v>
      </c>
      <c r="D91" s="54">
        <v>2.12E-5</v>
      </c>
      <c r="E91" s="55">
        <v>0</v>
      </c>
      <c r="F91" s="54">
        <v>4.6338999999999998E-5</v>
      </c>
      <c r="G91" s="55">
        <v>1.83384E-5</v>
      </c>
      <c r="H91" s="54">
        <v>0</v>
      </c>
      <c r="I91" s="41">
        <f t="shared" si="50"/>
        <v>239.26856928740813</v>
      </c>
      <c r="J91" s="56">
        <v>0</v>
      </c>
      <c r="K91" s="57">
        <v>0</v>
      </c>
      <c r="L91" s="56">
        <f t="shared" si="53"/>
        <v>80.639391292607741</v>
      </c>
      <c r="M91" s="57">
        <v>100</v>
      </c>
      <c r="N91" s="57">
        <v>0.33</v>
      </c>
      <c r="O91" s="56">
        <v>0.99</v>
      </c>
      <c r="P91" s="57">
        <v>0.12</v>
      </c>
      <c r="Q91" s="42">
        <f t="shared" si="51"/>
        <v>83.503424324625442</v>
      </c>
      <c r="R91" s="57">
        <v>66.8</v>
      </c>
      <c r="S91" s="56">
        <v>-10.8</v>
      </c>
      <c r="T91" s="57">
        <v>7.1</v>
      </c>
      <c r="U91" s="80">
        <v>-10</v>
      </c>
      <c r="V91" s="48">
        <v>-10</v>
      </c>
      <c r="W91" s="47">
        <v>-10</v>
      </c>
      <c r="X91" s="48">
        <f t="shared" si="70"/>
        <v>-0.65900000000000003</v>
      </c>
      <c r="Y91" s="47">
        <f t="shared" si="47"/>
        <v>-29.87100000000002</v>
      </c>
      <c r="Z91" s="48">
        <f t="shared" si="37"/>
        <v>-38.335000000000008</v>
      </c>
      <c r="AA91" s="47">
        <v>-10</v>
      </c>
      <c r="AB91" s="48">
        <v>-10</v>
      </c>
      <c r="AC91" s="47">
        <v>-10</v>
      </c>
      <c r="AD91" s="48">
        <f>AD90-0.2</f>
        <v>5.3999999999999992E-2</v>
      </c>
      <c r="AE91" s="47">
        <f t="shared" si="49"/>
        <v>-18.73</v>
      </c>
      <c r="AF91" s="48">
        <f t="shared" si="40"/>
        <v>-56.44800000000005</v>
      </c>
      <c r="AG91" s="47">
        <v>-10</v>
      </c>
      <c r="AH91" s="48">
        <v>-10</v>
      </c>
      <c r="AI91" s="58">
        <v>-10</v>
      </c>
      <c r="AJ91" s="47"/>
      <c r="AK91" s="50">
        <f t="shared" si="52"/>
        <v>1E-13</v>
      </c>
      <c r="AL91" s="42">
        <f t="shared" si="56"/>
        <v>1E-13</v>
      </c>
      <c r="AM91" s="41">
        <f t="shared" si="57"/>
        <v>1E-13</v>
      </c>
      <c r="AN91" s="42">
        <f t="shared" si="58"/>
        <v>2.1928049353504478E-4</v>
      </c>
      <c r="AO91" s="41">
        <f t="shared" si="59"/>
        <v>1.3458603540558772E-33</v>
      </c>
      <c r="AP91" s="42">
        <f t="shared" si="60"/>
        <v>4.6238102139924564E-42</v>
      </c>
      <c r="AQ91" s="41">
        <f t="shared" si="61"/>
        <v>1E-13</v>
      </c>
      <c r="AR91" s="42">
        <f t="shared" si="62"/>
        <v>1E-13</v>
      </c>
      <c r="AS91" s="41">
        <f t="shared" si="63"/>
        <v>1E-13</v>
      </c>
      <c r="AT91" s="42">
        <f t="shared" si="64"/>
        <v>1.1324003632355571E-3</v>
      </c>
      <c r="AU91" s="41">
        <f t="shared" si="65"/>
        <v>1.8620871366628566E-22</v>
      </c>
      <c r="AV91" s="42">
        <f t="shared" si="66"/>
        <v>3.5645113342620141E-60</v>
      </c>
      <c r="AW91" s="41">
        <f t="shared" si="67"/>
        <v>1E-13</v>
      </c>
      <c r="AX91" s="42">
        <f t="shared" si="68"/>
        <v>1E-13</v>
      </c>
      <c r="AY91" s="52">
        <f t="shared" si="69"/>
        <v>1E-13</v>
      </c>
      <c r="AZ91" s="41"/>
      <c r="BA91" s="59">
        <f t="shared" si="54"/>
        <v>80.639391292607741</v>
      </c>
      <c r="BB91" s="60">
        <f t="shared" si="55"/>
        <v>65.112982632235656</v>
      </c>
    </row>
    <row r="92" spans="2:54">
      <c r="B92" s="53">
        <v>780</v>
      </c>
      <c r="C92" s="54">
        <v>4.1509940000000003E-5</v>
      </c>
      <c r="D92" s="54">
        <v>1.499E-5</v>
      </c>
      <c r="E92" s="55">
        <v>0</v>
      </c>
      <c r="F92" s="54">
        <v>3.3411699999999997E-5</v>
      </c>
      <c r="G92" s="55">
        <v>1.3249E-5</v>
      </c>
      <c r="H92" s="54">
        <v>0</v>
      </c>
      <c r="I92" s="41">
        <f t="shared" si="50"/>
        <v>241.57140552399795</v>
      </c>
      <c r="J92" s="56">
        <v>0</v>
      </c>
      <c r="K92" s="57">
        <v>0</v>
      </c>
      <c r="L92" s="56">
        <f t="shared" si="53"/>
        <v>78.313237940179874</v>
      </c>
      <c r="M92" s="57">
        <v>100</v>
      </c>
      <c r="N92" s="57">
        <v>0.27</v>
      </c>
      <c r="O92" s="56">
        <v>0.81</v>
      </c>
      <c r="P92" s="57">
        <v>0.09</v>
      </c>
      <c r="Q92" s="42">
        <f t="shared" si="51"/>
        <v>82.858733594413067</v>
      </c>
      <c r="R92" s="57">
        <v>65</v>
      </c>
      <c r="S92" s="56">
        <v>-10.4</v>
      </c>
      <c r="T92" s="57">
        <v>6.8</v>
      </c>
      <c r="U92" s="80">
        <v>-10</v>
      </c>
      <c r="V92" s="48">
        <v>-10</v>
      </c>
      <c r="W92" s="47">
        <v>-10</v>
      </c>
      <c r="X92" s="48">
        <f t="shared" si="70"/>
        <v>-0.85899999999999999</v>
      </c>
      <c r="Y92" s="47">
        <f t="shared" si="47"/>
        <v>-30.721000000000021</v>
      </c>
      <c r="Z92" s="48">
        <f t="shared" si="37"/>
        <v>-39.035000000000011</v>
      </c>
      <c r="AA92" s="47">
        <v>-10</v>
      </c>
      <c r="AB92" s="48">
        <v>-10</v>
      </c>
      <c r="AC92" s="47">
        <v>-10</v>
      </c>
      <c r="AD92" s="48">
        <f>AD91-0.2</f>
        <v>-0.14600000000000002</v>
      </c>
      <c r="AE92" s="47">
        <f t="shared" si="49"/>
        <v>-19.330000000000002</v>
      </c>
      <c r="AF92" s="48">
        <f t="shared" si="40"/>
        <v>-57.548000000000052</v>
      </c>
      <c r="AG92" s="47">
        <v>-10</v>
      </c>
      <c r="AH92" s="48">
        <v>-10</v>
      </c>
      <c r="AI92" s="58">
        <v>-10</v>
      </c>
      <c r="AJ92" s="47"/>
      <c r="AK92" s="50">
        <f t="shared" si="52"/>
        <v>1E-13</v>
      </c>
      <c r="AL92" s="42">
        <f t="shared" si="56"/>
        <v>1E-13</v>
      </c>
      <c r="AM92" s="41">
        <f t="shared" si="57"/>
        <v>1E-13</v>
      </c>
      <c r="AN92" s="42">
        <f t="shared" si="58"/>
        <v>1.3835663789717805E-4</v>
      </c>
      <c r="AO92" s="41">
        <f t="shared" si="59"/>
        <v>1.9010782799231878E-34</v>
      </c>
      <c r="AP92" s="42">
        <f t="shared" si="60"/>
        <v>9.2257142715472691E-43</v>
      </c>
      <c r="AQ92" s="41">
        <f t="shared" si="61"/>
        <v>1E-13</v>
      </c>
      <c r="AR92" s="42">
        <f t="shared" si="62"/>
        <v>1E-13</v>
      </c>
      <c r="AS92" s="41">
        <f t="shared" si="63"/>
        <v>1E-13</v>
      </c>
      <c r="AT92" s="42">
        <f t="shared" si="64"/>
        <v>7.1449632607551328E-4</v>
      </c>
      <c r="AU92" s="41">
        <f t="shared" si="65"/>
        <v>4.6773514128719488E-23</v>
      </c>
      <c r="AV92" s="42">
        <f t="shared" si="66"/>
        <v>2.8313919957989885E-61</v>
      </c>
      <c r="AW92" s="41">
        <f t="shared" si="67"/>
        <v>1E-13</v>
      </c>
      <c r="AX92" s="42">
        <f t="shared" si="68"/>
        <v>1E-13</v>
      </c>
      <c r="AY92" s="52">
        <f t="shared" si="69"/>
        <v>1E-13</v>
      </c>
      <c r="AZ92" s="41"/>
      <c r="BA92" s="59">
        <f t="shared" si="54"/>
        <v>78.313237940179874</v>
      </c>
      <c r="BB92" s="60">
        <f t="shared" si="55"/>
        <v>63.400964245988447</v>
      </c>
    </row>
    <row r="93" spans="2:54">
      <c r="B93" s="53">
        <v>785</v>
      </c>
      <c r="C93" s="54">
        <v>2.935326E-5</v>
      </c>
      <c r="D93" s="54">
        <v>1.06E-5</v>
      </c>
      <c r="E93" s="55">
        <v>0</v>
      </c>
      <c r="F93" s="54">
        <v>2.4209000000000001E-5</v>
      </c>
      <c r="G93" s="55">
        <v>9.6196000000000002E-6</v>
      </c>
      <c r="H93" s="54">
        <v>0</v>
      </c>
      <c r="I93" s="41">
        <f t="shared" si="50"/>
        <v>243.81751977714853</v>
      </c>
      <c r="J93" s="56">
        <v>0</v>
      </c>
      <c r="K93" s="57">
        <v>0</v>
      </c>
      <c r="L93" s="56">
        <f t="shared" si="53"/>
        <v>78.953945008860458</v>
      </c>
      <c r="M93" s="57">
        <v>100</v>
      </c>
      <c r="N93" s="57">
        <v>0</v>
      </c>
      <c r="O93" s="56">
        <v>0</v>
      </c>
      <c r="P93" s="57">
        <v>0</v>
      </c>
      <c r="Q93" s="42">
        <f t="shared" si="51"/>
        <v>82.211554384226076</v>
      </c>
      <c r="R93" s="57">
        <v>65.5</v>
      </c>
      <c r="S93" s="56">
        <v>-10.5</v>
      </c>
      <c r="T93" s="57">
        <v>6.9</v>
      </c>
      <c r="U93" s="80">
        <v>-10</v>
      </c>
      <c r="V93" s="48">
        <v>-10</v>
      </c>
      <c r="W93" s="47">
        <v>-10</v>
      </c>
      <c r="X93" s="48">
        <f t="shared" si="70"/>
        <v>-1.0589999999999999</v>
      </c>
      <c r="Y93" s="47">
        <f t="shared" si="47"/>
        <v>-31.571000000000023</v>
      </c>
      <c r="Z93" s="48">
        <f t="shared" si="37"/>
        <v>-39.735000000000014</v>
      </c>
      <c r="AA93" s="47">
        <v>-10</v>
      </c>
      <c r="AB93" s="48">
        <v>-10</v>
      </c>
      <c r="AC93" s="47">
        <v>-10</v>
      </c>
      <c r="AD93" s="48">
        <f t="shared" ref="AD93:AD102" si="71">AD92-0.2</f>
        <v>-0.34600000000000003</v>
      </c>
      <c r="AE93" s="47">
        <f t="shared" si="49"/>
        <v>-19.930000000000003</v>
      </c>
      <c r="AF93" s="48">
        <f t="shared" si="40"/>
        <v>-58.648000000000053</v>
      </c>
      <c r="AG93" s="47">
        <v>-10</v>
      </c>
      <c r="AH93" s="48">
        <v>-10</v>
      </c>
      <c r="AI93" s="58">
        <v>-10</v>
      </c>
      <c r="AJ93" s="47"/>
      <c r="AK93" s="50">
        <f t="shared" si="52"/>
        <v>1E-13</v>
      </c>
      <c r="AL93" s="42">
        <f t="shared" si="56"/>
        <v>1E-13</v>
      </c>
      <c r="AM93" s="41">
        <f t="shared" si="57"/>
        <v>1E-13</v>
      </c>
      <c r="AN93" s="42">
        <f t="shared" si="58"/>
        <v>8.729713683881113E-5</v>
      </c>
      <c r="AO93" s="41">
        <f t="shared" si="59"/>
        <v>2.6853444456583328E-35</v>
      </c>
      <c r="AP93" s="42">
        <f t="shared" si="60"/>
        <v>1.84077200146887E-43</v>
      </c>
      <c r="AQ93" s="41">
        <f t="shared" si="61"/>
        <v>1E-13</v>
      </c>
      <c r="AR93" s="42">
        <f t="shared" si="62"/>
        <v>1E-13</v>
      </c>
      <c r="AS93" s="41">
        <f t="shared" si="63"/>
        <v>1E-13</v>
      </c>
      <c r="AT93" s="42">
        <f t="shared" si="64"/>
        <v>4.5081670454146005E-4</v>
      </c>
      <c r="AU93" s="41">
        <f t="shared" si="65"/>
        <v>1.1748975549395196E-23</v>
      </c>
      <c r="AV93" s="42">
        <f t="shared" si="66"/>
        <v>2.2490546058354938E-62</v>
      </c>
      <c r="AW93" s="41">
        <f t="shared" si="67"/>
        <v>1E-13</v>
      </c>
      <c r="AX93" s="42">
        <f t="shared" si="68"/>
        <v>1E-13</v>
      </c>
      <c r="AY93" s="52">
        <f t="shared" si="69"/>
        <v>1E-13</v>
      </c>
      <c r="AZ93" s="41"/>
      <c r="BA93" s="59">
        <f t="shared" si="54"/>
        <v>78.953945008860458</v>
      </c>
      <c r="BB93" s="60">
        <f t="shared" si="55"/>
        <v>63.861756687461238</v>
      </c>
    </row>
    <row r="94" spans="2:54">
      <c r="B94" s="53">
        <v>790</v>
      </c>
      <c r="C94" s="54">
        <v>2.0673830000000001E-5</v>
      </c>
      <c r="D94" s="54">
        <v>7.4657000000000004E-6</v>
      </c>
      <c r="E94" s="55">
        <v>0</v>
      </c>
      <c r="F94" s="54">
        <v>1.7611499999999999E-5</v>
      </c>
      <c r="G94" s="55">
        <v>7.0128E-6</v>
      </c>
      <c r="H94" s="54">
        <v>0</v>
      </c>
      <c r="I94" s="41">
        <f t="shared" si="50"/>
        <v>246.00676844852549</v>
      </c>
      <c r="J94" s="56">
        <v>0</v>
      </c>
      <c r="K94" s="57">
        <v>0</v>
      </c>
      <c r="L94" s="56">
        <f t="shared" si="53"/>
        <v>79.594652077541042</v>
      </c>
      <c r="M94" s="57">
        <v>100</v>
      </c>
      <c r="N94" s="57">
        <v>0</v>
      </c>
      <c r="O94" s="56">
        <v>0</v>
      </c>
      <c r="P94" s="57">
        <v>0</v>
      </c>
      <c r="Q94" s="42">
        <f t="shared" si="51"/>
        <v>81.56227580912001</v>
      </c>
      <c r="R94" s="57">
        <v>66</v>
      </c>
      <c r="S94" s="56">
        <v>-10.6</v>
      </c>
      <c r="T94" s="57">
        <v>7</v>
      </c>
      <c r="U94" s="80">
        <v>-10</v>
      </c>
      <c r="V94" s="48">
        <v>-10</v>
      </c>
      <c r="W94" s="47">
        <v>-10</v>
      </c>
      <c r="X94" s="48">
        <f t="shared" si="70"/>
        <v>-1.2589999999999999</v>
      </c>
      <c r="Y94" s="47">
        <f t="shared" si="47"/>
        <v>-32.421000000000021</v>
      </c>
      <c r="Z94" s="48">
        <f t="shared" si="37"/>
        <v>-40.435000000000016</v>
      </c>
      <c r="AA94" s="47">
        <v>-10</v>
      </c>
      <c r="AB94" s="48">
        <v>-10</v>
      </c>
      <c r="AC94" s="47">
        <v>-10</v>
      </c>
      <c r="AD94" s="48">
        <f t="shared" si="71"/>
        <v>-0.54600000000000004</v>
      </c>
      <c r="AE94" s="47">
        <f t="shared" si="49"/>
        <v>-20.530000000000005</v>
      </c>
      <c r="AF94" s="48">
        <f t="shared" si="40"/>
        <v>-59.748000000000054</v>
      </c>
      <c r="AG94" s="47">
        <v>-10</v>
      </c>
      <c r="AH94" s="48">
        <v>-10</v>
      </c>
      <c r="AI94" s="58">
        <v>-10</v>
      </c>
      <c r="AJ94" s="47"/>
      <c r="AK94" s="50">
        <f t="shared" si="52"/>
        <v>1E-13</v>
      </c>
      <c r="AL94" s="42">
        <f t="shared" si="56"/>
        <v>1E-13</v>
      </c>
      <c r="AM94" s="41">
        <f t="shared" si="57"/>
        <v>1E-13</v>
      </c>
      <c r="AN94" s="42">
        <f t="shared" si="58"/>
        <v>5.5080769640540333E-5</v>
      </c>
      <c r="AO94" s="41">
        <f t="shared" si="59"/>
        <v>3.793149849736603E-36</v>
      </c>
      <c r="AP94" s="42">
        <f t="shared" si="60"/>
        <v>3.6728230049806994E-44</v>
      </c>
      <c r="AQ94" s="41">
        <f t="shared" si="61"/>
        <v>1E-13</v>
      </c>
      <c r="AR94" s="42">
        <f t="shared" si="62"/>
        <v>1E-13</v>
      </c>
      <c r="AS94" s="41">
        <f t="shared" si="63"/>
        <v>1E-13</v>
      </c>
      <c r="AT94" s="42">
        <f t="shared" si="64"/>
        <v>2.8444611074479153E-4</v>
      </c>
      <c r="AU94" s="41">
        <f t="shared" si="65"/>
        <v>2.9512092266663354E-24</v>
      </c>
      <c r="AV94" s="42">
        <f t="shared" si="66"/>
        <v>1.7864875748517908E-63</v>
      </c>
      <c r="AW94" s="41">
        <f t="shared" si="67"/>
        <v>1E-13</v>
      </c>
      <c r="AX94" s="42">
        <f t="shared" si="68"/>
        <v>1E-13</v>
      </c>
      <c r="AY94" s="52">
        <f t="shared" si="69"/>
        <v>1E-13</v>
      </c>
      <c r="AZ94" s="41"/>
      <c r="BA94" s="59">
        <f t="shared" si="54"/>
        <v>79.594652077541042</v>
      </c>
      <c r="BB94" s="60">
        <f t="shared" si="55"/>
        <v>64.322549128934028</v>
      </c>
    </row>
    <row r="95" spans="2:54">
      <c r="B95" s="65">
        <v>795</v>
      </c>
      <c r="C95" s="66">
        <v>1.455977E-5</v>
      </c>
      <c r="D95" s="66">
        <v>5.2577999999999999E-6</v>
      </c>
      <c r="E95" s="67">
        <v>0</v>
      </c>
      <c r="F95" s="66">
        <v>1.2855E-5</v>
      </c>
      <c r="G95" s="67">
        <v>5.1298000000000004E-6</v>
      </c>
      <c r="H95" s="66">
        <v>0</v>
      </c>
      <c r="I95" s="68">
        <f t="shared" si="50"/>
        <v>248.1390600913393</v>
      </c>
      <c r="J95" s="69">
        <v>0</v>
      </c>
      <c r="K95" s="70">
        <v>0</v>
      </c>
      <c r="L95" s="69">
        <f t="shared" si="53"/>
        <v>76.516482651920114</v>
      </c>
      <c r="M95" s="70">
        <v>100</v>
      </c>
      <c r="N95" s="70">
        <v>0</v>
      </c>
      <c r="O95" s="69">
        <v>0</v>
      </c>
      <c r="P95" s="187">
        <v>0</v>
      </c>
      <c r="Q95" s="68">
        <f t="shared" si="51"/>
        <v>80.911270706375959</v>
      </c>
      <c r="R95" s="70">
        <v>63.5</v>
      </c>
      <c r="S95" s="69">
        <v>-10.15</v>
      </c>
      <c r="T95" s="70">
        <v>6.7</v>
      </c>
      <c r="U95" s="93">
        <v>-10</v>
      </c>
      <c r="V95" s="72">
        <v>-10</v>
      </c>
      <c r="W95" s="73">
        <v>-10</v>
      </c>
      <c r="X95" s="72">
        <f t="shared" si="70"/>
        <v>-1.4589999999999999</v>
      </c>
      <c r="Y95" s="73">
        <f t="shared" si="47"/>
        <v>-33.271000000000022</v>
      </c>
      <c r="Z95" s="72">
        <f t="shared" si="37"/>
        <v>-41.135000000000019</v>
      </c>
      <c r="AA95" s="73">
        <v>-10</v>
      </c>
      <c r="AB95" s="72">
        <v>-10</v>
      </c>
      <c r="AC95" s="73">
        <v>-10</v>
      </c>
      <c r="AD95" s="72">
        <f t="shared" si="71"/>
        <v>-0.746</v>
      </c>
      <c r="AE95" s="73">
        <f t="shared" si="49"/>
        <v>-21.130000000000006</v>
      </c>
      <c r="AF95" s="72">
        <f t="shared" si="40"/>
        <v>-60.848000000000056</v>
      </c>
      <c r="AG95" s="73">
        <v>-10</v>
      </c>
      <c r="AH95" s="72">
        <v>-10</v>
      </c>
      <c r="AI95" s="74">
        <v>-10</v>
      </c>
      <c r="AJ95" s="47"/>
      <c r="AK95" s="75">
        <f t="shared" si="52"/>
        <v>1E-13</v>
      </c>
      <c r="AL95" s="68">
        <f t="shared" si="56"/>
        <v>1E-13</v>
      </c>
      <c r="AM95" s="76">
        <f t="shared" si="57"/>
        <v>1E-13</v>
      </c>
      <c r="AN95" s="68">
        <f t="shared" si="58"/>
        <v>3.475361614432058E-5</v>
      </c>
      <c r="AO95" s="76">
        <f t="shared" si="59"/>
        <v>5.3579665751330789E-37</v>
      </c>
      <c r="AP95" s="68">
        <f t="shared" si="60"/>
        <v>7.3282453313886915E-45</v>
      </c>
      <c r="AQ95" s="76">
        <f t="shared" si="61"/>
        <v>1E-13</v>
      </c>
      <c r="AR95" s="68">
        <f t="shared" si="62"/>
        <v>1E-13</v>
      </c>
      <c r="AS95" s="76">
        <f t="shared" si="63"/>
        <v>1E-13</v>
      </c>
      <c r="AT95" s="68">
        <f t="shared" si="64"/>
        <v>1.7947336268325258E-4</v>
      </c>
      <c r="AU95" s="76">
        <f t="shared" si="65"/>
        <v>7.4131024130090385E-25</v>
      </c>
      <c r="AV95" s="68">
        <f t="shared" si="66"/>
        <v>1.4190575216889007E-64</v>
      </c>
      <c r="AW95" s="76">
        <f t="shared" si="67"/>
        <v>1E-13</v>
      </c>
      <c r="AX95" s="68">
        <f t="shared" si="68"/>
        <v>1E-13</v>
      </c>
      <c r="AY95" s="77">
        <f t="shared" si="69"/>
        <v>1E-13</v>
      </c>
      <c r="AZ95" s="41"/>
      <c r="BA95" s="78">
        <f t="shared" si="54"/>
        <v>76.516482651920114</v>
      </c>
      <c r="BB95" s="79">
        <f t="shared" si="55"/>
        <v>61.895710211772375</v>
      </c>
    </row>
    <row r="96" spans="2:54">
      <c r="B96" s="53">
        <v>800</v>
      </c>
      <c r="C96" s="54">
        <v>1.0253980000000001E-5</v>
      </c>
      <c r="D96" s="54">
        <v>3.7029000000000002E-6</v>
      </c>
      <c r="E96" s="55">
        <v>0</v>
      </c>
      <c r="F96" s="54">
        <v>9.4136299999999995E-6</v>
      </c>
      <c r="G96" s="55">
        <v>3.7647300000000001E-6</v>
      </c>
      <c r="H96" s="54">
        <v>0</v>
      </c>
      <c r="I96" s="41">
        <f t="shared" si="50"/>
        <v>250.21435336648079</v>
      </c>
      <c r="J96" s="56">
        <v>0</v>
      </c>
      <c r="K96" s="57">
        <v>0</v>
      </c>
      <c r="L96" s="56">
        <f t="shared" si="53"/>
        <v>73.438313226299186</v>
      </c>
      <c r="M96" s="57">
        <v>100</v>
      </c>
      <c r="N96" s="57">
        <v>0</v>
      </c>
      <c r="O96" s="56">
        <v>0</v>
      </c>
      <c r="P96" s="57">
        <v>0</v>
      </c>
      <c r="Q96" s="42">
        <f t="shared" si="51"/>
        <v>80.258896117271235</v>
      </c>
      <c r="R96" s="57">
        <v>61</v>
      </c>
      <c r="S96" s="56">
        <v>-9.6999999999999993</v>
      </c>
      <c r="T96" s="57">
        <v>6.4</v>
      </c>
      <c r="U96" s="80">
        <v>-10</v>
      </c>
      <c r="V96" s="48">
        <v>-10</v>
      </c>
      <c r="W96" s="47">
        <v>-10</v>
      </c>
      <c r="X96" s="48">
        <f t="shared" si="70"/>
        <v>-1.6589999999999998</v>
      </c>
      <c r="Y96" s="47">
        <f t="shared" si="47"/>
        <v>-34.121000000000024</v>
      </c>
      <c r="Z96" s="48">
        <f t="shared" si="37"/>
        <v>-41.835000000000022</v>
      </c>
      <c r="AA96" s="47">
        <v>-10</v>
      </c>
      <c r="AB96" s="48">
        <v>-10</v>
      </c>
      <c r="AC96" s="47">
        <v>-10</v>
      </c>
      <c r="AD96" s="48">
        <f t="shared" si="71"/>
        <v>-0.94599999999999995</v>
      </c>
      <c r="AE96" s="47">
        <f t="shared" si="49"/>
        <v>-21.730000000000008</v>
      </c>
      <c r="AF96" s="48">
        <f t="shared" si="40"/>
        <v>-61.948000000000057</v>
      </c>
      <c r="AG96" s="47">
        <v>-10</v>
      </c>
      <c r="AH96" s="48">
        <v>-10</v>
      </c>
      <c r="AI96" s="58">
        <v>-10</v>
      </c>
      <c r="AJ96" s="47"/>
      <c r="AK96" s="50">
        <f t="shared" si="52"/>
        <v>1E-13</v>
      </c>
      <c r="AL96" s="42">
        <f t="shared" si="56"/>
        <v>1E-13</v>
      </c>
      <c r="AM96" s="41">
        <f t="shared" si="57"/>
        <v>1E-13</v>
      </c>
      <c r="AN96" s="42">
        <f t="shared" si="58"/>
        <v>2.1928049353504493E-5</v>
      </c>
      <c r="AO96" s="41">
        <f t="shared" si="59"/>
        <v>7.5683289502093284E-38</v>
      </c>
      <c r="AP96" s="42">
        <f t="shared" si="60"/>
        <v>1.4621771744566378E-45</v>
      </c>
      <c r="AQ96" s="41">
        <f t="shared" si="61"/>
        <v>1E-13</v>
      </c>
      <c r="AR96" s="42">
        <f t="shared" si="62"/>
        <v>1E-13</v>
      </c>
      <c r="AS96" s="41">
        <f t="shared" si="63"/>
        <v>1E-13</v>
      </c>
      <c r="AT96" s="42">
        <f t="shared" si="64"/>
        <v>1.1324003632355569E-4</v>
      </c>
      <c r="AU96" s="41">
        <f t="shared" si="65"/>
        <v>1.8620871366628304E-25</v>
      </c>
      <c r="AV96" s="42">
        <f t="shared" si="66"/>
        <v>1.1271974561753379E-65</v>
      </c>
      <c r="AW96" s="41">
        <f t="shared" si="67"/>
        <v>1E-13</v>
      </c>
      <c r="AX96" s="42">
        <f t="shared" si="68"/>
        <v>1E-13</v>
      </c>
      <c r="AY96" s="52">
        <f t="shared" si="69"/>
        <v>1E-13</v>
      </c>
      <c r="AZ96" s="41"/>
      <c r="BA96" s="59">
        <f t="shared" si="54"/>
        <v>73.438313226299186</v>
      </c>
      <c r="BB96" s="60">
        <f t="shared" si="55"/>
        <v>59.468871294610722</v>
      </c>
    </row>
    <row r="97" spans="2:54">
      <c r="B97" s="53">
        <v>805</v>
      </c>
      <c r="C97" s="54">
        <v>7.2214559999999999E-6</v>
      </c>
      <c r="D97" s="54">
        <v>2.6077999999999998E-6</v>
      </c>
      <c r="E97" s="55">
        <v>0</v>
      </c>
      <c r="F97" s="54">
        <v>6.9129999999999997E-6</v>
      </c>
      <c r="G97" s="55">
        <v>2.7708100000000001E-6</v>
      </c>
      <c r="H97" s="54">
        <v>0</v>
      </c>
      <c r="I97" s="41">
        <f t="shared" si="50"/>
        <v>252.23265501904308</v>
      </c>
      <c r="J97" s="56">
        <v>0</v>
      </c>
      <c r="K97" s="57">
        <v>0</v>
      </c>
      <c r="L97" s="56">
        <f t="shared" si="53"/>
        <v>68.695051051271264</v>
      </c>
      <c r="M97" s="57">
        <v>100</v>
      </c>
      <c r="N97" s="57">
        <v>0</v>
      </c>
      <c r="O97" s="56">
        <v>0</v>
      </c>
      <c r="P97" s="57">
        <v>0</v>
      </c>
      <c r="Q97" s="42">
        <f t="shared" si="51"/>
        <v>79.605493762804414</v>
      </c>
      <c r="R97" s="57">
        <v>57.15</v>
      </c>
      <c r="S97" s="56">
        <v>-9</v>
      </c>
      <c r="T97" s="57">
        <v>5.95</v>
      </c>
      <c r="U97" s="80">
        <v>-10</v>
      </c>
      <c r="V97" s="48">
        <v>-10</v>
      </c>
      <c r="W97" s="47">
        <v>-10</v>
      </c>
      <c r="X97" s="48">
        <f t="shared" si="70"/>
        <v>-1.8589999999999998</v>
      </c>
      <c r="Y97" s="47">
        <f t="shared" si="47"/>
        <v>-34.971000000000025</v>
      </c>
      <c r="Z97" s="48">
        <f t="shared" si="37"/>
        <v>-42.535000000000025</v>
      </c>
      <c r="AA97" s="47">
        <v>-10</v>
      </c>
      <c r="AB97" s="48">
        <v>-10</v>
      </c>
      <c r="AC97" s="47">
        <v>-10</v>
      </c>
      <c r="AD97" s="48">
        <f t="shared" si="71"/>
        <v>-1.1459999999999999</v>
      </c>
      <c r="AE97" s="47">
        <f t="shared" si="49"/>
        <v>-22.330000000000009</v>
      </c>
      <c r="AF97" s="48">
        <f t="shared" si="40"/>
        <v>-63.048000000000059</v>
      </c>
      <c r="AG97" s="47">
        <v>-10</v>
      </c>
      <c r="AH97" s="48">
        <v>-10</v>
      </c>
      <c r="AI97" s="58">
        <v>-10</v>
      </c>
      <c r="AJ97" s="47"/>
      <c r="AK97" s="50">
        <f t="shared" si="52"/>
        <v>1E-13</v>
      </c>
      <c r="AL97" s="42">
        <f t="shared" si="56"/>
        <v>1E-13</v>
      </c>
      <c r="AM97" s="41">
        <f t="shared" si="57"/>
        <v>1E-13</v>
      </c>
      <c r="AN97" s="42">
        <f t="shared" si="58"/>
        <v>1.3835663789717806E-5</v>
      </c>
      <c r="AO97" s="41">
        <f t="shared" si="59"/>
        <v>1.0690548792225928E-38</v>
      </c>
      <c r="AP97" s="42">
        <f t="shared" si="60"/>
        <v>2.9174270140009843E-46</v>
      </c>
      <c r="AQ97" s="41">
        <f t="shared" si="61"/>
        <v>1E-13</v>
      </c>
      <c r="AR97" s="42">
        <f t="shared" si="62"/>
        <v>1E-13</v>
      </c>
      <c r="AS97" s="41">
        <f t="shared" si="63"/>
        <v>1E-13</v>
      </c>
      <c r="AT97" s="42">
        <f t="shared" si="64"/>
        <v>7.1449632607551344E-5</v>
      </c>
      <c r="AU97" s="41">
        <f t="shared" si="65"/>
        <v>4.6773514128718492E-26</v>
      </c>
      <c r="AV97" s="42">
        <f t="shared" si="66"/>
        <v>8.9536476554946633E-67</v>
      </c>
      <c r="AW97" s="41">
        <f t="shared" si="67"/>
        <v>1E-13</v>
      </c>
      <c r="AX97" s="42">
        <f t="shared" si="68"/>
        <v>1E-13</v>
      </c>
      <c r="AY97" s="52">
        <f t="shared" si="69"/>
        <v>1E-13</v>
      </c>
      <c r="AZ97" s="41"/>
      <c r="BA97" s="59">
        <f t="shared" si="54"/>
        <v>68.695051051271264</v>
      </c>
      <c r="BB97" s="60">
        <f t="shared" si="55"/>
        <v>55.721202653411034</v>
      </c>
    </row>
    <row r="98" spans="2:54">
      <c r="B98" s="53">
        <v>810</v>
      </c>
      <c r="C98" s="54">
        <v>5.0858679999999998E-6</v>
      </c>
      <c r="D98" s="54">
        <v>1.8365999999999999E-6</v>
      </c>
      <c r="E98" s="55">
        <v>0</v>
      </c>
      <c r="F98" s="54">
        <v>5.09347E-6</v>
      </c>
      <c r="G98" s="55">
        <v>2.0461300000000002E-6</v>
      </c>
      <c r="H98" s="54">
        <v>0</v>
      </c>
      <c r="I98" s="41">
        <f t="shared" si="50"/>
        <v>254.19401787860707</v>
      </c>
      <c r="J98" s="56">
        <v>0</v>
      </c>
      <c r="K98" s="57">
        <v>0</v>
      </c>
      <c r="L98" s="56">
        <f t="shared" si="53"/>
        <v>63.951788876243342</v>
      </c>
      <c r="M98" s="57">
        <v>100</v>
      </c>
      <c r="N98" s="57">
        <v>0</v>
      </c>
      <c r="O98" s="56">
        <v>0</v>
      </c>
      <c r="P98" s="57">
        <v>0</v>
      </c>
      <c r="Q98" s="42">
        <f t="shared" si="51"/>
        <v>78.951390512761094</v>
      </c>
      <c r="R98" s="57">
        <v>53.3</v>
      </c>
      <c r="S98" s="56">
        <v>-8.3000000000000007</v>
      </c>
      <c r="T98" s="57">
        <v>5.5</v>
      </c>
      <c r="U98" s="80">
        <v>-10</v>
      </c>
      <c r="V98" s="48">
        <v>-10</v>
      </c>
      <c r="W98" s="47">
        <v>-10</v>
      </c>
      <c r="X98" s="48">
        <f t="shared" si="70"/>
        <v>-2.0589999999999997</v>
      </c>
      <c r="Y98" s="47">
        <f t="shared" si="47"/>
        <v>-35.821000000000026</v>
      </c>
      <c r="Z98" s="48">
        <f t="shared" si="37"/>
        <v>-43.235000000000028</v>
      </c>
      <c r="AA98" s="47">
        <v>-10</v>
      </c>
      <c r="AB98" s="48">
        <v>-10</v>
      </c>
      <c r="AC98" s="47">
        <v>-10</v>
      </c>
      <c r="AD98" s="48">
        <f t="shared" si="71"/>
        <v>-1.3459999999999999</v>
      </c>
      <c r="AE98" s="47">
        <f t="shared" si="49"/>
        <v>-22.93000000000001</v>
      </c>
      <c r="AF98" s="48">
        <f t="shared" si="40"/>
        <v>-64.148000000000053</v>
      </c>
      <c r="AG98" s="47">
        <v>-10</v>
      </c>
      <c r="AH98" s="48">
        <v>-10</v>
      </c>
      <c r="AI98" s="58">
        <v>-10</v>
      </c>
      <c r="AJ98" s="47"/>
      <c r="AK98" s="50">
        <f t="shared" si="52"/>
        <v>1E-13</v>
      </c>
      <c r="AL98" s="42">
        <f t="shared" si="56"/>
        <v>1E-13</v>
      </c>
      <c r="AM98" s="41">
        <f t="shared" si="57"/>
        <v>1E-13</v>
      </c>
      <c r="AN98" s="42">
        <f t="shared" si="58"/>
        <v>8.7297136838811144E-6</v>
      </c>
      <c r="AO98" s="41">
        <f t="shared" si="59"/>
        <v>1.5100801541640473E-39</v>
      </c>
      <c r="AP98" s="42">
        <f t="shared" si="60"/>
        <v>5.8210321777083067E-47</v>
      </c>
      <c r="AQ98" s="41">
        <f t="shared" si="61"/>
        <v>1E-13</v>
      </c>
      <c r="AR98" s="42">
        <f t="shared" si="62"/>
        <v>1E-13</v>
      </c>
      <c r="AS98" s="41">
        <f t="shared" si="63"/>
        <v>1E-13</v>
      </c>
      <c r="AT98" s="42">
        <f t="shared" si="64"/>
        <v>4.5081670454146015E-5</v>
      </c>
      <c r="AU98" s="41">
        <f t="shared" si="65"/>
        <v>1.1748975549394948E-26</v>
      </c>
      <c r="AV98" s="42">
        <f t="shared" si="66"/>
        <v>7.1121351365323521E-68</v>
      </c>
      <c r="AW98" s="41">
        <f t="shared" si="67"/>
        <v>1E-13</v>
      </c>
      <c r="AX98" s="42">
        <f t="shared" si="68"/>
        <v>1E-13</v>
      </c>
      <c r="AY98" s="52">
        <f t="shared" si="69"/>
        <v>1E-13</v>
      </c>
      <c r="AZ98" s="41"/>
      <c r="BA98" s="59">
        <f t="shared" si="54"/>
        <v>63.951788876243342</v>
      </c>
      <c r="BB98" s="60">
        <f t="shared" si="55"/>
        <v>51.973534012211339</v>
      </c>
    </row>
    <row r="99" spans="2:54">
      <c r="B99" s="53">
        <v>815</v>
      </c>
      <c r="C99" s="54">
        <v>3.5816519999999999E-6</v>
      </c>
      <c r="D99" s="54">
        <v>1.2934E-6</v>
      </c>
      <c r="E99" s="55">
        <v>0</v>
      </c>
      <c r="F99" s="54">
        <v>3.7670999999999999E-6</v>
      </c>
      <c r="G99" s="55">
        <v>1.51677E-6</v>
      </c>
      <c r="H99" s="54">
        <v>0</v>
      </c>
      <c r="I99" s="41">
        <f t="shared" si="50"/>
        <v>256.09853888635655</v>
      </c>
      <c r="J99" s="56">
        <v>0</v>
      </c>
      <c r="K99" s="57">
        <v>0</v>
      </c>
      <c r="L99" s="56">
        <f t="shared" si="53"/>
        <v>67.381974375057339</v>
      </c>
      <c r="M99" s="57">
        <v>100</v>
      </c>
      <c r="N99" s="57">
        <v>0</v>
      </c>
      <c r="O99" s="56">
        <v>0</v>
      </c>
      <c r="P99" s="57">
        <v>0</v>
      </c>
      <c r="Q99" s="42">
        <f t="shared" si="51"/>
        <v>78.296898847583307</v>
      </c>
      <c r="R99" s="57">
        <v>56.1</v>
      </c>
      <c r="S99" s="56">
        <v>-8.8000000000000007</v>
      </c>
      <c r="T99" s="57">
        <v>5.8</v>
      </c>
      <c r="U99" s="80">
        <v>-10</v>
      </c>
      <c r="V99" s="48">
        <v>-10</v>
      </c>
      <c r="W99" s="47">
        <v>-10</v>
      </c>
      <c r="X99" s="48">
        <f t="shared" si="70"/>
        <v>-2.2589999999999999</v>
      </c>
      <c r="Y99" s="47">
        <f t="shared" si="47"/>
        <v>-36.671000000000028</v>
      </c>
      <c r="Z99" s="48">
        <f t="shared" si="37"/>
        <v>-43.935000000000031</v>
      </c>
      <c r="AA99" s="47">
        <v>-10</v>
      </c>
      <c r="AB99" s="48">
        <v>-10</v>
      </c>
      <c r="AC99" s="47">
        <v>-10</v>
      </c>
      <c r="AD99" s="48">
        <f t="shared" si="71"/>
        <v>-1.5459999999999998</v>
      </c>
      <c r="AE99" s="47">
        <f t="shared" si="49"/>
        <v>-23.530000000000012</v>
      </c>
      <c r="AF99" s="48">
        <f t="shared" si="40"/>
        <v>-65.248000000000047</v>
      </c>
      <c r="AG99" s="47">
        <v>-10</v>
      </c>
      <c r="AH99" s="48">
        <v>-10</v>
      </c>
      <c r="AI99" s="58">
        <v>-10</v>
      </c>
      <c r="AJ99" s="47"/>
      <c r="AK99" s="50">
        <f t="shared" si="52"/>
        <v>1E-13</v>
      </c>
      <c r="AL99" s="42">
        <f t="shared" si="56"/>
        <v>1E-13</v>
      </c>
      <c r="AM99" s="41">
        <f t="shared" si="57"/>
        <v>1E-13</v>
      </c>
      <c r="AN99" s="42">
        <f t="shared" si="58"/>
        <v>5.5080769640540353E-6</v>
      </c>
      <c r="AO99" s="41">
        <f t="shared" si="59"/>
        <v>2.1330449131464203E-40</v>
      </c>
      <c r="AP99" s="42">
        <f t="shared" si="60"/>
        <v>1.1614486138402526E-47</v>
      </c>
      <c r="AQ99" s="41">
        <f t="shared" si="61"/>
        <v>1E-13</v>
      </c>
      <c r="AR99" s="42">
        <f t="shared" si="62"/>
        <v>1E-13</v>
      </c>
      <c r="AS99" s="41">
        <f t="shared" si="63"/>
        <v>1E-13</v>
      </c>
      <c r="AT99" s="42">
        <f t="shared" si="64"/>
        <v>2.8444611074479165E-5</v>
      </c>
      <c r="AU99" s="41">
        <f t="shared" si="65"/>
        <v>2.9512092266662938E-27</v>
      </c>
      <c r="AV99" s="42">
        <f t="shared" si="66"/>
        <v>5.6493697481223398E-69</v>
      </c>
      <c r="AW99" s="41">
        <f t="shared" si="67"/>
        <v>1E-13</v>
      </c>
      <c r="AX99" s="42">
        <f t="shared" si="68"/>
        <v>1E-13</v>
      </c>
      <c r="AY99" s="52">
        <f t="shared" si="69"/>
        <v>1E-13</v>
      </c>
      <c r="AZ99" s="41"/>
      <c r="BA99" s="59">
        <f t="shared" si="54"/>
        <v>67.381974375057339</v>
      </c>
      <c r="BB99" s="60">
        <f t="shared" si="55"/>
        <v>54.715193460287423</v>
      </c>
    </row>
    <row r="100" spans="2:54">
      <c r="B100" s="53">
        <v>820</v>
      </c>
      <c r="C100" s="54">
        <v>2.522525E-6</v>
      </c>
      <c r="D100" s="54">
        <v>9.1093000000000002E-7</v>
      </c>
      <c r="E100" s="55">
        <v>0</v>
      </c>
      <c r="F100" s="54">
        <v>2.79531E-6</v>
      </c>
      <c r="G100" s="55">
        <v>1.12809E-6</v>
      </c>
      <c r="H100" s="54">
        <v>0</v>
      </c>
      <c r="I100" s="41">
        <f t="shared" si="50"/>
        <v>257.94635715176099</v>
      </c>
      <c r="J100" s="56">
        <v>0</v>
      </c>
      <c r="K100" s="57">
        <v>0</v>
      </c>
      <c r="L100" s="56">
        <f t="shared" si="53"/>
        <v>70.812159873871323</v>
      </c>
      <c r="M100" s="57">
        <v>100</v>
      </c>
      <c r="N100" s="57">
        <v>0</v>
      </c>
      <c r="O100" s="56">
        <v>0</v>
      </c>
      <c r="P100" s="57">
        <v>0</v>
      </c>
      <c r="Q100" s="42">
        <f t="shared" si="51"/>
        <v>77.64231731257847</v>
      </c>
      <c r="R100" s="57">
        <v>58.9</v>
      </c>
      <c r="S100" s="56">
        <v>-9.3000000000000007</v>
      </c>
      <c r="T100" s="57">
        <v>6.1</v>
      </c>
      <c r="U100" s="80">
        <v>-10</v>
      </c>
      <c r="V100" s="48">
        <v>-10</v>
      </c>
      <c r="W100" s="47">
        <v>-10</v>
      </c>
      <c r="X100" s="48">
        <f t="shared" si="70"/>
        <v>-2.4590000000000001</v>
      </c>
      <c r="Y100" s="47">
        <f t="shared" si="47"/>
        <v>-37.521000000000029</v>
      </c>
      <c r="Z100" s="48">
        <f t="shared" si="37"/>
        <v>-44.635000000000034</v>
      </c>
      <c r="AA100" s="47">
        <v>-10</v>
      </c>
      <c r="AB100" s="48">
        <v>-10</v>
      </c>
      <c r="AC100" s="47">
        <v>-10</v>
      </c>
      <c r="AD100" s="48">
        <f t="shared" si="71"/>
        <v>-1.7459999999999998</v>
      </c>
      <c r="AE100" s="47">
        <f t="shared" si="49"/>
        <v>-24.130000000000013</v>
      </c>
      <c r="AF100" s="48">
        <f t="shared" si="40"/>
        <v>-66.348000000000042</v>
      </c>
      <c r="AG100" s="47">
        <v>-10</v>
      </c>
      <c r="AH100" s="48">
        <v>-10</v>
      </c>
      <c r="AI100" s="58">
        <v>-10</v>
      </c>
      <c r="AJ100" s="47"/>
      <c r="AK100" s="50">
        <f t="shared" si="52"/>
        <v>1E-13</v>
      </c>
      <c r="AL100" s="42">
        <f t="shared" si="56"/>
        <v>1E-13</v>
      </c>
      <c r="AM100" s="41">
        <f t="shared" si="57"/>
        <v>1E-13</v>
      </c>
      <c r="AN100" s="42">
        <f t="shared" si="58"/>
        <v>3.4753616144320564E-6</v>
      </c>
      <c r="AO100" s="41">
        <f t="shared" si="59"/>
        <v>3.0130060241858827E-41</v>
      </c>
      <c r="AP100" s="42">
        <f t="shared" si="60"/>
        <v>2.3173946499682813E-48</v>
      </c>
      <c r="AQ100" s="41">
        <f t="shared" si="61"/>
        <v>1E-13</v>
      </c>
      <c r="AR100" s="42">
        <f t="shared" si="62"/>
        <v>1E-13</v>
      </c>
      <c r="AS100" s="41">
        <f t="shared" si="63"/>
        <v>1E-13</v>
      </c>
      <c r="AT100" s="42">
        <f t="shared" si="64"/>
        <v>1.7947336268325267E-5</v>
      </c>
      <c r="AU100" s="41">
        <f t="shared" si="65"/>
        <v>7.4131024130089348E-28</v>
      </c>
      <c r="AV100" s="42">
        <f t="shared" si="66"/>
        <v>4.4874538993308245E-70</v>
      </c>
      <c r="AW100" s="41">
        <f t="shared" si="67"/>
        <v>1E-13</v>
      </c>
      <c r="AX100" s="42">
        <f t="shared" si="68"/>
        <v>1E-13</v>
      </c>
      <c r="AY100" s="52">
        <f t="shared" si="69"/>
        <v>1E-13</v>
      </c>
      <c r="AZ100" s="41"/>
      <c r="BA100" s="59">
        <f t="shared" si="54"/>
        <v>70.812159873871323</v>
      </c>
      <c r="BB100" s="60">
        <f t="shared" si="55"/>
        <v>57.456852908363501</v>
      </c>
    </row>
    <row r="101" spans="2:54">
      <c r="B101" s="53">
        <v>825</v>
      </c>
      <c r="C101" s="54">
        <v>1.7765090000000001E-6</v>
      </c>
      <c r="D101" s="54">
        <v>6.4153E-7</v>
      </c>
      <c r="E101" s="55">
        <v>0</v>
      </c>
      <c r="F101" s="54">
        <v>2.0820000000000001E-6</v>
      </c>
      <c r="G101" s="55">
        <v>8.4216000000000002E-7</v>
      </c>
      <c r="H101" s="54">
        <v>0</v>
      </c>
      <c r="I101" s="41">
        <f t="shared" si="50"/>
        <v>259.73765204128517</v>
      </c>
      <c r="J101" s="56">
        <v>0</v>
      </c>
      <c r="K101" s="57">
        <v>0</v>
      </c>
      <c r="L101" s="56">
        <f t="shared" si="53"/>
        <v>72.645590084425535</v>
      </c>
      <c r="M101" s="57">
        <v>100</v>
      </c>
      <c r="N101" s="57">
        <v>0</v>
      </c>
      <c r="O101" s="56">
        <v>0</v>
      </c>
      <c r="P101" s="57">
        <v>0</v>
      </c>
      <c r="Q101" s="42">
        <f t="shared" si="51"/>
        <v>76.987930964065612</v>
      </c>
      <c r="R101" s="57">
        <v>60.4</v>
      </c>
      <c r="S101" s="56">
        <v>-9.5500000000000007</v>
      </c>
      <c r="T101" s="57">
        <v>6.3</v>
      </c>
      <c r="U101" s="80">
        <v>-10</v>
      </c>
      <c r="V101" s="48">
        <v>-10</v>
      </c>
      <c r="W101" s="47">
        <v>-10</v>
      </c>
      <c r="X101" s="48">
        <f t="shared" si="70"/>
        <v>-2.6590000000000003</v>
      </c>
      <c r="Y101" s="47">
        <f t="shared" si="47"/>
        <v>-38.371000000000031</v>
      </c>
      <c r="Z101" s="48">
        <f t="shared" si="37"/>
        <v>-45.335000000000036</v>
      </c>
      <c r="AA101" s="47">
        <v>-10</v>
      </c>
      <c r="AB101" s="48">
        <v>-10</v>
      </c>
      <c r="AC101" s="47">
        <v>-10</v>
      </c>
      <c r="AD101" s="48">
        <f t="shared" si="71"/>
        <v>-1.9459999999999997</v>
      </c>
      <c r="AE101" s="47">
        <f t="shared" si="49"/>
        <v>-24.730000000000015</v>
      </c>
      <c r="AF101" s="48">
        <f t="shared" si="40"/>
        <v>-67.448000000000036</v>
      </c>
      <c r="AG101" s="47">
        <v>-10</v>
      </c>
      <c r="AH101" s="48">
        <v>-10</v>
      </c>
      <c r="AI101" s="58">
        <v>-10</v>
      </c>
      <c r="AJ101" s="47"/>
      <c r="AK101" s="50">
        <f t="shared" si="52"/>
        <v>1E-13</v>
      </c>
      <c r="AL101" s="42">
        <f t="shared" si="56"/>
        <v>1E-13</v>
      </c>
      <c r="AM101" s="41">
        <f t="shared" si="57"/>
        <v>1E-13</v>
      </c>
      <c r="AN101" s="42">
        <f t="shared" si="58"/>
        <v>2.1928049353504457E-6</v>
      </c>
      <c r="AO101" s="41">
        <f t="shared" si="59"/>
        <v>4.2559841313370679E-42</v>
      </c>
      <c r="AP101" s="42">
        <f t="shared" si="60"/>
        <v>4.6238102139921743E-49</v>
      </c>
      <c r="AQ101" s="41">
        <f t="shared" si="61"/>
        <v>1E-13</v>
      </c>
      <c r="AR101" s="42">
        <f t="shared" si="62"/>
        <v>1E-13</v>
      </c>
      <c r="AS101" s="41">
        <f t="shared" si="63"/>
        <v>1E-13</v>
      </c>
      <c r="AT101" s="42">
        <f t="shared" si="64"/>
        <v>1.1324003632355571E-5</v>
      </c>
      <c r="AU101" s="41">
        <f t="shared" si="65"/>
        <v>1.8620871366627913E-28</v>
      </c>
      <c r="AV101" s="42">
        <f t="shared" si="66"/>
        <v>3.5645113342620848E-71</v>
      </c>
      <c r="AW101" s="41">
        <f t="shared" si="67"/>
        <v>1E-13</v>
      </c>
      <c r="AX101" s="42">
        <f t="shared" si="68"/>
        <v>1E-13</v>
      </c>
      <c r="AY101" s="52">
        <f t="shared" si="69"/>
        <v>1E-13</v>
      </c>
      <c r="AZ101" s="41"/>
      <c r="BA101" s="59">
        <f t="shared" si="54"/>
        <v>72.645590084425535</v>
      </c>
      <c r="BB101" s="60">
        <f t="shared" si="55"/>
        <v>58.893258322223502</v>
      </c>
    </row>
    <row r="102" spans="2:54" ht="12" thickBot="1">
      <c r="B102" s="97">
        <v>830</v>
      </c>
      <c r="C102" s="98">
        <v>1.251141E-6</v>
      </c>
      <c r="D102" s="98">
        <v>4.5181000000000002E-7</v>
      </c>
      <c r="E102" s="99">
        <v>0</v>
      </c>
      <c r="F102" s="98">
        <v>1.55314E-6</v>
      </c>
      <c r="G102" s="99">
        <v>6.2969999999999998E-7</v>
      </c>
      <c r="H102" s="98">
        <v>0</v>
      </c>
      <c r="I102" s="100">
        <f t="shared" si="50"/>
        <v>261.47264130129435</v>
      </c>
      <c r="J102" s="101">
        <v>0</v>
      </c>
      <c r="K102" s="102">
        <v>0</v>
      </c>
      <c r="L102" s="101">
        <f t="shared" si="53"/>
        <v>74.479020294979762</v>
      </c>
      <c r="M102" s="102">
        <v>100</v>
      </c>
      <c r="N102" s="102">
        <v>0</v>
      </c>
      <c r="O102" s="101">
        <v>0</v>
      </c>
      <c r="P102" s="188">
        <v>0</v>
      </c>
      <c r="Q102" s="100">
        <f t="shared" si="51"/>
        <v>76.334011807119865</v>
      </c>
      <c r="R102" s="102">
        <v>61.9</v>
      </c>
      <c r="S102" s="101">
        <v>-9.8000000000000007</v>
      </c>
      <c r="T102" s="102">
        <v>6.5</v>
      </c>
      <c r="U102" s="103">
        <v>-10</v>
      </c>
      <c r="V102" s="104">
        <v>-10</v>
      </c>
      <c r="W102" s="105">
        <v>-10</v>
      </c>
      <c r="X102" s="104">
        <f t="shared" si="70"/>
        <v>-2.8590000000000004</v>
      </c>
      <c r="Y102" s="105">
        <f t="shared" si="47"/>
        <v>-39.221000000000032</v>
      </c>
      <c r="Z102" s="104">
        <f t="shared" si="37"/>
        <v>-46.035000000000039</v>
      </c>
      <c r="AA102" s="105">
        <v>-10</v>
      </c>
      <c r="AB102" s="104">
        <v>-10</v>
      </c>
      <c r="AC102" s="105">
        <v>-10</v>
      </c>
      <c r="AD102" s="104">
        <f t="shared" si="71"/>
        <v>-2.1459999999999999</v>
      </c>
      <c r="AE102" s="105">
        <f t="shared" si="49"/>
        <v>-25.330000000000016</v>
      </c>
      <c r="AF102" s="104">
        <f t="shared" si="40"/>
        <v>-68.54800000000003</v>
      </c>
      <c r="AG102" s="105">
        <v>-10</v>
      </c>
      <c r="AH102" s="104">
        <v>-10</v>
      </c>
      <c r="AI102" s="106">
        <v>-10</v>
      </c>
      <c r="AJ102" s="47"/>
      <c r="AK102" s="107">
        <f t="shared" si="52"/>
        <v>1E-13</v>
      </c>
      <c r="AL102" s="100">
        <f t="shared" si="56"/>
        <v>1E-13</v>
      </c>
      <c r="AM102" s="108">
        <f t="shared" si="57"/>
        <v>1E-13</v>
      </c>
      <c r="AN102" s="100">
        <f t="shared" si="58"/>
        <v>1.3835663789717791E-6</v>
      </c>
      <c r="AO102" s="108">
        <f t="shared" si="59"/>
        <v>6.0117373748323161E-43</v>
      </c>
      <c r="AP102" s="100">
        <f t="shared" si="60"/>
        <v>9.225714271546705E-50</v>
      </c>
      <c r="AQ102" s="108">
        <f t="shared" si="61"/>
        <v>1E-13</v>
      </c>
      <c r="AR102" s="100">
        <f t="shared" si="62"/>
        <v>1E-13</v>
      </c>
      <c r="AS102" s="108">
        <f t="shared" si="63"/>
        <v>1E-13</v>
      </c>
      <c r="AT102" s="100">
        <f t="shared" si="64"/>
        <v>7.1449632607551285E-6</v>
      </c>
      <c r="AU102" s="108">
        <f t="shared" si="65"/>
        <v>4.677351412871784E-29</v>
      </c>
      <c r="AV102" s="100">
        <f t="shared" si="66"/>
        <v>2.8313919957991248E-72</v>
      </c>
      <c r="AW102" s="108">
        <f t="shared" si="67"/>
        <v>1E-13</v>
      </c>
      <c r="AX102" s="100">
        <f t="shared" si="68"/>
        <v>1E-13</v>
      </c>
      <c r="AY102" s="109">
        <f t="shared" si="69"/>
        <v>1E-13</v>
      </c>
      <c r="AZ102" s="41"/>
      <c r="BA102" s="110">
        <f t="shared" si="54"/>
        <v>74.479020294979762</v>
      </c>
      <c r="BB102" s="111">
        <f t="shared" si="55"/>
        <v>60.329663736083504</v>
      </c>
    </row>
  </sheetData>
  <sheetProtection password="F3E9" sheet="1" objects="1" scenarios="1"/>
  <mergeCells count="19">
    <mergeCell ref="BD38:BE38"/>
    <mergeCell ref="AN2:AP2"/>
    <mergeCell ref="BD10:BE10"/>
    <mergeCell ref="BD16:BE16"/>
    <mergeCell ref="BD2:BE2"/>
    <mergeCell ref="AQ2:AS2"/>
    <mergeCell ref="AT2:AV2"/>
    <mergeCell ref="AW2:AY2"/>
    <mergeCell ref="BD20:BE20"/>
    <mergeCell ref="BD29:BE29"/>
    <mergeCell ref="AA2:AC2"/>
    <mergeCell ref="BH2:BP2"/>
    <mergeCell ref="BA2:BB2"/>
    <mergeCell ref="C2:H2"/>
    <mergeCell ref="R2:T2"/>
    <mergeCell ref="X2:Z2"/>
    <mergeCell ref="I2:Q2"/>
    <mergeCell ref="AG2:AI2"/>
    <mergeCell ref="AD2:AF2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52</vt:i4>
      </vt:variant>
    </vt:vector>
  </HeadingPairs>
  <TitlesOfParts>
    <vt:vector size="56" baseType="lpstr">
      <vt:lpstr>SpectralData</vt:lpstr>
      <vt:lpstr>IAM-9C Report Data</vt:lpstr>
      <vt:lpstr>Color Conversion</vt:lpstr>
      <vt:lpstr>References</vt:lpstr>
      <vt:lpstr>Blackbody</vt:lpstr>
      <vt:lpstr>Blackbody_Temperature</vt:lpstr>
      <vt:lpstr>C_X</vt:lpstr>
      <vt:lpstr>C_Y</vt:lpstr>
      <vt:lpstr>C_Z</vt:lpstr>
      <vt:lpstr>Custom_Illuminant</vt:lpstr>
      <vt:lpstr>D50_X</vt:lpstr>
      <vt:lpstr>D50_Y</vt:lpstr>
      <vt:lpstr>D50_Z</vt:lpstr>
      <vt:lpstr>D65_X</vt:lpstr>
      <vt:lpstr>D65_Y</vt:lpstr>
      <vt:lpstr>D65_Z</vt:lpstr>
      <vt:lpstr>Den_StatusA_B</vt:lpstr>
      <vt:lpstr>Den_StatusA_G</vt:lpstr>
      <vt:lpstr>Den_StatusA_R</vt:lpstr>
      <vt:lpstr>Den_StatusE_B</vt:lpstr>
      <vt:lpstr>Den_StatusE_G</vt:lpstr>
      <vt:lpstr>Den_StatusE_R</vt:lpstr>
      <vt:lpstr>Den_StatusM_B</vt:lpstr>
      <vt:lpstr>Den_StatusM_G</vt:lpstr>
      <vt:lpstr>Den_StatusM_R</vt:lpstr>
      <vt:lpstr>Den_StatusT_B</vt:lpstr>
      <vt:lpstr>Den_StatusT_G</vt:lpstr>
      <vt:lpstr>Den_StatusT_R</vt:lpstr>
      <vt:lpstr>Den_Type1</vt:lpstr>
      <vt:lpstr>Den_Type2</vt:lpstr>
      <vt:lpstr>Den_Visual</vt:lpstr>
      <vt:lpstr>E_X</vt:lpstr>
      <vt:lpstr>E_Y</vt:lpstr>
      <vt:lpstr>E_Z</vt:lpstr>
      <vt:lpstr>epsilon</vt:lpstr>
      <vt:lpstr>Illuminant_A</vt:lpstr>
      <vt:lpstr>Illuminant_B</vt:lpstr>
      <vt:lpstr>Illuminant_C</vt:lpstr>
      <vt:lpstr>Illuminant_D</vt:lpstr>
      <vt:lpstr>Illuminant_D_Temperature</vt:lpstr>
      <vt:lpstr>Illuminant_D50</vt:lpstr>
      <vt:lpstr>Illuminant_D65</vt:lpstr>
      <vt:lpstr>Illuminant_E</vt:lpstr>
      <vt:lpstr>Illuminant_F11</vt:lpstr>
      <vt:lpstr>Illuminant_F2</vt:lpstr>
      <vt:lpstr>Illuminant_F7</vt:lpstr>
      <vt:lpstr>kappa</vt:lpstr>
      <vt:lpstr>SpectralData!report</vt:lpstr>
      <vt:lpstr>SpectralData!report_1</vt:lpstr>
      <vt:lpstr>Sample</vt:lpstr>
      <vt:lpstr>xObs10</vt:lpstr>
      <vt:lpstr>xObs2</vt:lpstr>
      <vt:lpstr>yObs10</vt:lpstr>
      <vt:lpstr>yObs2</vt:lpstr>
      <vt:lpstr>zObs10</vt:lpstr>
      <vt:lpstr>zObs2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Spectral Calculator (5nm)</dc:title>
  <dc:creator>Bruce Justin Lindbloom</dc:creator>
  <dc:description>Copyright (c) 2003 Bruce Justin Lindbloom. All Rights Reserved.</dc:description>
  <cp:lastModifiedBy>Katie Carpenter</cp:lastModifiedBy>
  <cp:lastPrinted>2021-12-30T20:03:39Z</cp:lastPrinted>
  <dcterms:created xsi:type="dcterms:W3CDTF">2003-04-07T16:04:16Z</dcterms:created>
  <dcterms:modified xsi:type="dcterms:W3CDTF">2021-12-30T20:04:20Z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120 120 1920 1080</vt:lpwstr>
  </property>
</Properties>
</file>